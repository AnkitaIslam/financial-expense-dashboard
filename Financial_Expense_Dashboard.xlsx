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E89842CC-34E9-4C0A-89C0-47F78983E7FA}" xr6:coauthVersionLast="47" xr6:coauthVersionMax="47" xr10:uidLastSave="{00000000-0000-0000-0000-000000000000}"/>
  <bookViews>
    <workbookView xWindow="-120" yWindow="-120" windowWidth="20730" windowHeight="11160" tabRatio="500" xr2:uid="{00000000-000D-0000-FFFF-FFFF00000000}"/>
  </bookViews>
  <sheets>
    <sheet name="Dashboard" sheetId="5" r:id="rId1"/>
    <sheet name="Sheet1" sheetId="6" state="hidden" r:id="rId2"/>
    <sheet name="Transactions" sheetId="2" r:id="rId3"/>
    <sheet name="Categories" sheetId="3" r:id="rId4"/>
    <sheet name="Payment Method" sheetId="7" r:id="rId5"/>
    <sheet name="Income" sheetId="4" r:id="rId6"/>
    <sheet name="Insights" sheetId="8" r:id="rId7"/>
  </sheets>
  <definedNames>
    <definedName name="_xlnm._FilterDatabase" localSheetId="2" hidden="1">Transactions!$A$1:$G$51</definedName>
    <definedName name="_xlcn.WorksheetConnection_TransactionsA1F511" hidden="1">Transactions!$A$1:$G$51</definedName>
    <definedName name="Slicer_Date_2">#N/A</definedName>
    <definedName name="Slicer_Payment_Method">#N/A</definedName>
  </definedNames>
  <calcPr calcId="191029"/>
  <pivotCaches>
    <pivotCache cacheId="2136" r:id="rId8"/>
    <pivotCache cacheId="2139" r:id="rId9"/>
    <pivotCache cacheId="2142" r:id="rId10"/>
    <pivotCache cacheId="2145" r:id="rId11"/>
    <pivotCache cacheId="2148" r:id="rId12"/>
    <pivotCache cacheId="2151" r:id="rId13"/>
    <pivotCache cacheId="2154" r:id="rId14"/>
    <pivotCache cacheId="2157" r:id="rId15"/>
    <pivotCache cacheId="2160" r:id="rId16"/>
  </pivotCaches>
  <extLst>
    <ext xmlns:x14="http://schemas.microsoft.com/office/spreadsheetml/2009/9/main" uri="{876F7934-8845-4945-9796-88D515C7AA90}">
      <x14:pivotCaches>
        <pivotCache cacheId="188" r:id="rId17"/>
        <pivotCache cacheId="189"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Transactions!$A$1:$F$5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 i="6" l="1"/>
  <c r="E4" i="6"/>
  <c r="F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B7BFF6-5526-462B-BA18-023850DB173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5E721D3-E278-43E2-B8FF-995CACFFE19B}" name="WorksheetConnection_Transactions!$A$1:$F$51" type="102" refreshedVersion="8" minRefreshableVersion="5">
    <extLst>
      <ext xmlns:x15="http://schemas.microsoft.com/office/spreadsheetml/2010/11/main" uri="{DE250136-89BD-433C-8126-D09CA5730AF9}">
        <x15:connection id="Range" autoDelete="1">
          <x15:rangePr sourceName="_xlcn.WorksheetConnection_TransactionsA1F511"/>
        </x15:connection>
      </ext>
    </extLst>
  </connection>
</connections>
</file>

<file path=xl/sharedStrings.xml><?xml version="1.0" encoding="utf-8"?>
<sst xmlns="http://schemas.openxmlformats.org/spreadsheetml/2006/main" count="354" uniqueCount="139">
  <si>
    <t>Food</t>
  </si>
  <si>
    <t>Cash</t>
  </si>
  <si>
    <t>Transport</t>
  </si>
  <si>
    <t>Card</t>
  </si>
  <si>
    <t>Utilities</t>
  </si>
  <si>
    <t>Bank Transfer</t>
  </si>
  <si>
    <t>Shopping</t>
  </si>
  <si>
    <t>Mobile Money</t>
  </si>
  <si>
    <t>Entertainment</t>
  </si>
  <si>
    <t>Health</t>
  </si>
  <si>
    <t>Airtime/Data</t>
  </si>
  <si>
    <t>Other</t>
  </si>
  <si>
    <t>Date</t>
  </si>
  <si>
    <t>Description</t>
  </si>
  <si>
    <t>Category</t>
  </si>
  <si>
    <t>Payment Method</t>
  </si>
  <si>
    <t>Amount</t>
  </si>
  <si>
    <t>Notes</t>
  </si>
  <si>
    <t>Transaction 1</t>
  </si>
  <si>
    <t>Transaction 2</t>
  </si>
  <si>
    <t>Transaction 3</t>
  </si>
  <si>
    <t>Transaction 4</t>
  </si>
  <si>
    <t>Transaction 5</t>
  </si>
  <si>
    <t>Transaction 6</t>
  </si>
  <si>
    <t>Transaction 7</t>
  </si>
  <si>
    <t>Transaction 8</t>
  </si>
  <si>
    <t>Transaction 9</t>
  </si>
  <si>
    <t>Transaction 10</t>
  </si>
  <si>
    <t>Transaction 11</t>
  </si>
  <si>
    <t>Transaction 12</t>
  </si>
  <si>
    <t>Transaction 13</t>
  </si>
  <si>
    <t>Transaction 14</t>
  </si>
  <si>
    <t>Transaction 15</t>
  </si>
  <si>
    <t>Transaction 16</t>
  </si>
  <si>
    <t>Transaction 17</t>
  </si>
  <si>
    <t>Transaction 18</t>
  </si>
  <si>
    <t>Transaction 19</t>
  </si>
  <si>
    <t>Transaction 20</t>
  </si>
  <si>
    <t>Transaction 21</t>
  </si>
  <si>
    <t>Transaction 22</t>
  </si>
  <si>
    <t>Transaction 23</t>
  </si>
  <si>
    <t>Transaction 24</t>
  </si>
  <si>
    <t>Transaction 25</t>
  </si>
  <si>
    <t>Transaction 26</t>
  </si>
  <si>
    <t>Transaction 27</t>
  </si>
  <si>
    <t>Transaction 28</t>
  </si>
  <si>
    <t>Transaction 29</t>
  </si>
  <si>
    <t>Transaction 30</t>
  </si>
  <si>
    <t>Transaction 31</t>
  </si>
  <si>
    <t>Transaction 32</t>
  </si>
  <si>
    <t>Transaction 33</t>
  </si>
  <si>
    <t>Transaction 34</t>
  </si>
  <si>
    <t>Transaction 35</t>
  </si>
  <si>
    <t>Transaction 36</t>
  </si>
  <si>
    <t>Transaction 37</t>
  </si>
  <si>
    <t>Transaction 38</t>
  </si>
  <si>
    <t>Transaction 39</t>
  </si>
  <si>
    <t>Transaction 40</t>
  </si>
  <si>
    <t>Transaction 41</t>
  </si>
  <si>
    <t>Transaction 42</t>
  </si>
  <si>
    <t>Transaction 43</t>
  </si>
  <si>
    <t>Transaction 44</t>
  </si>
  <si>
    <t>Transaction 45</t>
  </si>
  <si>
    <t>Transaction 46</t>
  </si>
  <si>
    <t>Transaction 47</t>
  </si>
  <si>
    <t>Transaction 48</t>
  </si>
  <si>
    <t>Transaction 49</t>
  </si>
  <si>
    <t>Transaction 50</t>
  </si>
  <si>
    <t>Budget Limit</t>
  </si>
  <si>
    <t>Groceries &amp; Dining</t>
  </si>
  <si>
    <t>Fuel, Rides, Public Transport</t>
  </si>
  <si>
    <t>Electricity, Water, Internet</t>
  </si>
  <si>
    <t>Clothes, Shoes, Misc Items</t>
  </si>
  <si>
    <t>Movies, Games, Events</t>
  </si>
  <si>
    <t>Medicine, Checkups</t>
  </si>
  <si>
    <t>Mobile Phone Services</t>
  </si>
  <si>
    <t>Miscellaneous Expenses</t>
  </si>
  <si>
    <t>Source</t>
  </si>
  <si>
    <t>2026-04-01</t>
  </si>
  <si>
    <t>Salary</t>
  </si>
  <si>
    <t>Monthly Salary</t>
  </si>
  <si>
    <t>2026-04-15</t>
  </si>
  <si>
    <t>Freelance</t>
  </si>
  <si>
    <t>Project Payment</t>
  </si>
  <si>
    <t>2026-04-20</t>
  </si>
  <si>
    <t>Bonus</t>
  </si>
  <si>
    <t>Performance Bonus</t>
  </si>
  <si>
    <t>Sum of Amount</t>
  </si>
  <si>
    <t>Count of Payment Method</t>
  </si>
  <si>
    <t>Highest Expenses</t>
  </si>
  <si>
    <t>Daily Average</t>
  </si>
  <si>
    <t>Row Labels</t>
  </si>
  <si>
    <t>Grand Total</t>
  </si>
  <si>
    <t>Count of Amount2</t>
  </si>
  <si>
    <t>Distinct Count of Date</t>
  </si>
  <si>
    <t>Average Expenses</t>
  </si>
  <si>
    <t>% of Total</t>
  </si>
  <si>
    <t>Total</t>
  </si>
  <si>
    <t xml:space="preserve"> Amount (K)</t>
  </si>
  <si>
    <t>Amount (BDT)</t>
  </si>
  <si>
    <t>Payment 
Method</t>
  </si>
  <si>
    <t xml:space="preserve"> Total</t>
  </si>
  <si>
    <t xml:space="preserve"> Amount</t>
  </si>
  <si>
    <t>01-April</t>
  </si>
  <si>
    <t>02-April</t>
  </si>
  <si>
    <t>03-April</t>
  </si>
  <si>
    <t>04-April</t>
  </si>
  <si>
    <t>05-April</t>
  </si>
  <si>
    <t>06-April</t>
  </si>
  <si>
    <t>07-April</t>
  </si>
  <si>
    <t>08-April</t>
  </si>
  <si>
    <t>09-April</t>
  </si>
  <si>
    <t>10-April</t>
  </si>
  <si>
    <t>11-April</t>
  </si>
  <si>
    <t>12-April</t>
  </si>
  <si>
    <t>13-April</t>
  </si>
  <si>
    <t>14-April</t>
  </si>
  <si>
    <t>15-April</t>
  </si>
  <si>
    <t>16-April</t>
  </si>
  <si>
    <t>17-April</t>
  </si>
  <si>
    <t xml:space="preserve"> Date</t>
  </si>
  <si>
    <t>• Monitor 'Other' Category: Ensure miscellaneous spending doesn't exceed 5% of total budget.</t>
  </si>
  <si>
    <t>• Digital Tracking: Transition more Cash transactions to Card/Mobile Money for automated audit trails.</t>
  </si>
  <si>
    <t>• Consolidate Utilities: Pay Internet and Electricity on the same day for easier tracking.</t>
  </si>
  <si>
    <t>• Shopping Cap: Set a weekly limit of BDT 15,000 to reduce variable spend.</t>
  </si>
  <si>
    <t>STRATEGIC RECOMMENDATIONS</t>
  </si>
  <si>
    <t>Dates</t>
  </si>
  <si>
    <t>April 1 - April 17</t>
  </si>
  <si>
    <t>Budget Period</t>
  </si>
  <si>
    <t>Trans/Day</t>
  </si>
  <si>
    <t>Transaction Frequency</t>
  </si>
  <si>
    <t>BDT</t>
  </si>
  <si>
    <t>Highest Single Expense</t>
  </si>
  <si>
    <t>Total Expenses</t>
  </si>
  <si>
    <t>Unit</t>
  </si>
  <si>
    <t>Value</t>
  </si>
  <si>
    <t>Metric</t>
  </si>
  <si>
    <t>EXECUTIVE SUMMARY - APRIL 2026</t>
  </si>
  <si>
    <t>Amount(BDT)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</si>
</sst>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quot;K&quot;"/>
    <numFmt numFmtId="165" formatCode="[$BDT]\ #,##0"/>
    <numFmt numFmtId="166" formatCode="[$-409]d\-mmm;@"/>
    <numFmt numFmtId="167" formatCode="[$-409]dd\-mmm\-yy;@"/>
    <numFmt numFmtId="168" formatCode="#,##0,&quot;K&quot;"/>
  </numFmts>
  <fonts count="18" x14ac:knownFonts="1">
    <font>
      <sz val="11"/>
      <color theme="1"/>
      <name val="Calibri"/>
      <family val="2"/>
      <charset val="1"/>
    </font>
    <font>
      <b/>
      <sz val="11"/>
      <color rgb="FFFFFFFF"/>
      <name val="Franklin Gothic Book"/>
      <family val="2"/>
    </font>
    <font>
      <sz val="11"/>
      <color theme="1"/>
      <name val="Franklin Gothic Book"/>
      <family val="2"/>
    </font>
    <font>
      <b/>
      <sz val="11"/>
      <color theme="1"/>
      <name val="Calibri"/>
      <family val="2"/>
      <charset val="1"/>
    </font>
    <font>
      <sz val="11"/>
      <color theme="1"/>
      <name val="Arial"/>
      <family val="2"/>
    </font>
    <font>
      <sz val="8"/>
      <color theme="1"/>
      <name val="Arial"/>
      <family val="2"/>
    </font>
    <font>
      <u/>
      <sz val="11"/>
      <color theme="10"/>
      <name val="Calibri"/>
      <family val="2"/>
      <charset val="1"/>
    </font>
    <font>
      <b/>
      <sz val="12"/>
      <name val="Franklin Gothic Book"/>
      <family val="2"/>
    </font>
    <font>
      <b/>
      <sz val="14"/>
      <color rgb="FF1F4E78"/>
      <name val="Franklin Gothic Book"/>
      <family val="2"/>
    </font>
    <font>
      <sz val="9"/>
      <color theme="1"/>
      <name val="Arial"/>
      <family val="2"/>
    </font>
    <font>
      <b/>
      <sz val="9"/>
      <color rgb="FF00B0F0"/>
      <name val="Arial"/>
      <family val="2"/>
    </font>
    <font>
      <b/>
      <sz val="9"/>
      <color rgb="FF00B050"/>
      <name val="Arial"/>
      <family val="2"/>
    </font>
    <font>
      <b/>
      <sz val="9"/>
      <color rgb="FFFFC000"/>
      <name val="Arial"/>
      <family val="2"/>
    </font>
    <font>
      <b/>
      <sz val="9"/>
      <color rgb="FF7030A0"/>
      <name val="Arial"/>
      <family val="2"/>
    </font>
    <font>
      <b/>
      <sz val="9"/>
      <color theme="8"/>
      <name val="Arial"/>
      <family val="2"/>
    </font>
    <font>
      <b/>
      <sz val="9"/>
      <color theme="9"/>
      <name val="Arial"/>
      <family val="2"/>
    </font>
    <font>
      <b/>
      <sz val="9"/>
      <color theme="4" tint="-0.499984740745262"/>
      <name val="Arial"/>
      <family val="2"/>
    </font>
    <font>
      <b/>
      <sz val="9"/>
      <color rgb="FF7C0A30"/>
      <name val="Arial"/>
      <family val="2"/>
    </font>
  </fonts>
  <fills count="9">
    <fill>
      <patternFill patternType="none"/>
    </fill>
    <fill>
      <patternFill patternType="gray125"/>
    </fill>
    <fill>
      <patternFill patternType="solid">
        <fgColor rgb="FF1F4E78"/>
        <bgColor rgb="FF3E6595"/>
      </patternFill>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00B0F0"/>
        <bgColor indexed="64"/>
      </patternFill>
    </fill>
    <fill>
      <patternFill patternType="solid">
        <fgColor rgb="FF1F4E78"/>
        <bgColor rgb="FF1F4E78"/>
      </patternFill>
    </fill>
    <fill>
      <patternFill patternType="solid">
        <fgColor rgb="FFFFC000"/>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bottom style="thin">
        <color theme="3" tint="0.79998168889431442"/>
      </bottom>
      <diagonal/>
    </border>
    <border>
      <left/>
      <right style="thin">
        <color theme="3" tint="0.79998168889431442"/>
      </right>
      <top style="thin">
        <color theme="3" tint="0.79998168889431442"/>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theme="4" tint="0.39997558519241921"/>
      </top>
      <bottom/>
      <diagonal/>
    </border>
    <border>
      <left/>
      <right/>
      <top/>
      <bottom style="thin">
        <color indexed="64"/>
      </bottom>
      <diagonal/>
    </border>
  </borders>
  <cellStyleXfs count="2">
    <xf numFmtId="0" fontId="0" fillId="0" borderId="0"/>
    <xf numFmtId="0" fontId="6" fillId="0" borderId="0" applyNumberFormat="0" applyFill="0" applyBorder="0" applyAlignment="0" applyProtection="0"/>
  </cellStyleXfs>
  <cellXfs count="80">
    <xf numFmtId="0" fontId="0" fillId="0" borderId="0" xfId="0"/>
    <xf numFmtId="0" fontId="0" fillId="0" borderId="0" xfId="0" applyAlignment="1">
      <alignment horizontal="left"/>
    </xf>
    <xf numFmtId="0" fontId="1" fillId="2" borderId="1" xfId="0" applyFont="1" applyFill="1" applyBorder="1" applyAlignment="1">
      <alignment horizontal="center" vertical="center"/>
    </xf>
    <xf numFmtId="0" fontId="0" fillId="0" borderId="0" xfId="0" applyAlignment="1">
      <alignment horizontal="center"/>
    </xf>
    <xf numFmtId="0" fontId="2" fillId="0" borderId="1" xfId="0" applyFont="1" applyBorder="1" applyAlignment="1">
      <alignment horizontal="center"/>
    </xf>
    <xf numFmtId="4" fontId="2" fillId="0" borderId="1" xfId="0" applyNumberFormat="1" applyFont="1" applyBorder="1" applyAlignment="1">
      <alignment horizontal="center"/>
    </xf>
    <xf numFmtId="0" fontId="0" fillId="3" borderId="0" xfId="0" applyFill="1"/>
    <xf numFmtId="0" fontId="0" fillId="0" borderId="0" xfId="0" pivotButton="1"/>
    <xf numFmtId="0" fontId="3" fillId="4" borderId="2" xfId="0" applyFont="1" applyFill="1" applyBorder="1"/>
    <xf numFmtId="164" fontId="0" fillId="0" borderId="0" xfId="0" applyNumberFormat="1"/>
    <xf numFmtId="1" fontId="0" fillId="0" borderId="0" xfId="0" applyNumberFormat="1"/>
    <xf numFmtId="9" fontId="0" fillId="0" borderId="0" xfId="0" applyNumberFormat="1"/>
    <xf numFmtId="165" fontId="0" fillId="0" borderId="0" xfId="0" applyNumberFormat="1"/>
    <xf numFmtId="3" fontId="0" fillId="0" borderId="0" xfId="0" applyNumberFormat="1"/>
    <xf numFmtId="165" fontId="0" fillId="0" borderId="0" xfId="0" applyNumberFormat="1" applyAlignment="1">
      <alignment horizontal="center"/>
    </xf>
    <xf numFmtId="0" fontId="5" fillId="5" borderId="0" xfId="0" applyFont="1" applyFill="1" applyAlignment="1">
      <alignment horizontal="center"/>
    </xf>
    <xf numFmtId="0" fontId="5" fillId="5" borderId="0" xfId="0" applyFont="1" applyFill="1" applyAlignment="1">
      <alignment horizontal="center" vertical="center"/>
    </xf>
    <xf numFmtId="166" fontId="0" fillId="0" borderId="0" xfId="0" applyNumberFormat="1" applyAlignment="1">
      <alignment horizontal="center"/>
    </xf>
    <xf numFmtId="0" fontId="4" fillId="0" borderId="0" xfId="0" pivotButton="1" applyFont="1"/>
    <xf numFmtId="0" fontId="4" fillId="0" borderId="0" xfId="0" applyFont="1"/>
    <xf numFmtId="3" fontId="4" fillId="0" borderId="0" xfId="0" applyNumberFormat="1" applyFont="1"/>
    <xf numFmtId="0" fontId="0" fillId="0" borderId="3" xfId="0" applyBorder="1"/>
    <xf numFmtId="0" fontId="0" fillId="0" borderId="0" xfId="0" applyAlignment="1">
      <alignment vertical="center"/>
    </xf>
    <xf numFmtId="0" fontId="0" fillId="0" borderId="4" xfId="0" applyBorder="1" applyAlignment="1">
      <alignment vertical="center"/>
    </xf>
    <xf numFmtId="0" fontId="6" fillId="0" borderId="0" xfId="1"/>
    <xf numFmtId="0" fontId="2" fillId="0" borderId="1" xfId="0" applyFont="1" applyBorder="1" applyAlignment="1">
      <alignment horizontal="center" vertical="center"/>
    </xf>
    <xf numFmtId="3" fontId="2" fillId="0" borderId="1" xfId="0" applyNumberFormat="1" applyFont="1" applyBorder="1" applyAlignment="1">
      <alignment horizontal="center" vertical="center"/>
    </xf>
    <xf numFmtId="166" fontId="1" fillId="2" borderId="1" xfId="0" applyNumberFormat="1"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2" fillId="0" borderId="12" xfId="0" applyFont="1" applyBorder="1" applyAlignment="1">
      <alignment horizontal="center" vertical="center"/>
    </xf>
    <xf numFmtId="0" fontId="2" fillId="0" borderId="14" xfId="0" applyFont="1" applyBorder="1" applyAlignment="1">
      <alignment horizontal="center" vertical="center"/>
    </xf>
    <xf numFmtId="3" fontId="2" fillId="0" borderId="14" xfId="0" applyNumberFormat="1" applyFont="1" applyBorder="1" applyAlignment="1">
      <alignment horizontal="center" vertical="center"/>
    </xf>
    <xf numFmtId="0" fontId="2" fillId="0" borderId="15" xfId="0" applyFont="1" applyBorder="1" applyAlignment="1">
      <alignment horizontal="center" vertical="center"/>
    </xf>
    <xf numFmtId="167" fontId="2" fillId="0" borderId="11" xfId="0" applyNumberFormat="1" applyFont="1" applyBorder="1" applyAlignment="1">
      <alignment horizontal="center" vertical="center"/>
    </xf>
    <xf numFmtId="167" fontId="2" fillId="0" borderId="13" xfId="0" applyNumberFormat="1" applyFont="1" applyBorder="1" applyAlignment="1">
      <alignment horizontal="center" vertical="center"/>
    </xf>
    <xf numFmtId="167" fontId="2" fillId="0" borderId="1" xfId="0" applyNumberFormat="1" applyFont="1" applyBorder="1" applyAlignment="1">
      <alignment horizontal="center"/>
    </xf>
    <xf numFmtId="0" fontId="2" fillId="0" borderId="11" xfId="0" applyFont="1" applyBorder="1" applyAlignment="1">
      <alignment horizontal="center" vertical="center"/>
    </xf>
    <xf numFmtId="0" fontId="2" fillId="0" borderId="13" xfId="0" applyFont="1" applyBorder="1" applyAlignment="1">
      <alignment horizontal="center" vertical="center"/>
    </xf>
    <xf numFmtId="0" fontId="3" fillId="4" borderId="16" xfId="0" applyFont="1" applyFill="1" applyBorder="1" applyAlignment="1">
      <alignment horizontal="left"/>
    </xf>
    <xf numFmtId="165" fontId="3" fillId="4" borderId="16" xfId="0" applyNumberFormat="1" applyFont="1" applyFill="1" applyBorder="1"/>
    <xf numFmtId="168" fontId="0" fillId="0" borderId="0" xfId="0" applyNumberFormat="1"/>
    <xf numFmtId="0" fontId="2" fillId="0" borderId="0" xfId="0" applyFont="1"/>
    <xf numFmtId="0" fontId="2" fillId="0" borderId="1" xfId="0" applyFont="1" applyBorder="1"/>
    <xf numFmtId="0" fontId="1" fillId="7" borderId="1" xfId="0" applyFont="1" applyFill="1" applyBorder="1" applyAlignment="1">
      <alignment horizontal="center"/>
    </xf>
    <xf numFmtId="0" fontId="1" fillId="7" borderId="1" xfId="0" applyFont="1" applyFill="1" applyBorder="1" applyAlignment="1">
      <alignment horizontal="center" vertical="center"/>
    </xf>
    <xf numFmtId="0" fontId="2" fillId="0" borderId="0" xfId="0" applyFont="1" applyAlignment="1">
      <alignment horizontal="center" vertical="center"/>
    </xf>
    <xf numFmtId="0" fontId="0" fillId="0" borderId="0" xfId="0" applyAlignment="1">
      <alignment horizontal="right"/>
    </xf>
    <xf numFmtId="0" fontId="7" fillId="6" borderId="0" xfId="0" applyFont="1" applyFill="1" applyAlignment="1">
      <alignment horizontal="left"/>
    </xf>
    <xf numFmtId="0" fontId="0" fillId="0" borderId="0" xfId="0" applyAlignment="1">
      <alignment horizontal="left" vertical="center"/>
    </xf>
    <xf numFmtId="0" fontId="9" fillId="5" borderId="0" xfId="0" applyFont="1" applyFill="1" applyAlignment="1">
      <alignment horizontal="left" vertical="center" wrapText="1"/>
    </xf>
    <xf numFmtId="0" fontId="9" fillId="5" borderId="0" xfId="0" applyFont="1" applyFill="1" applyAlignment="1">
      <alignment horizontal="center" wrapText="1"/>
    </xf>
    <xf numFmtId="0" fontId="10" fillId="0" borderId="0" xfId="0" applyFont="1" applyFill="1" applyAlignment="1">
      <alignment horizontal="left"/>
    </xf>
    <xf numFmtId="9" fontId="9" fillId="5" borderId="0" xfId="0" applyNumberFormat="1" applyFont="1" applyFill="1" applyAlignment="1">
      <alignment horizontal="center"/>
    </xf>
    <xf numFmtId="0" fontId="11" fillId="5" borderId="0" xfId="0" applyFont="1" applyFill="1" applyAlignment="1">
      <alignment horizontal="left"/>
    </xf>
    <xf numFmtId="0" fontId="12" fillId="5" borderId="0" xfId="0" applyFont="1" applyFill="1" applyAlignment="1">
      <alignment horizontal="left"/>
    </xf>
    <xf numFmtId="0" fontId="13" fillId="5" borderId="0" xfId="0" applyFont="1" applyFill="1" applyAlignment="1">
      <alignment horizontal="left"/>
    </xf>
    <xf numFmtId="0" fontId="9" fillId="5" borderId="0" xfId="0" applyFont="1" applyFill="1" applyAlignment="1">
      <alignment horizontal="left"/>
    </xf>
    <xf numFmtId="0" fontId="9" fillId="5" borderId="0" xfId="0" applyFont="1" applyFill="1" applyAlignment="1">
      <alignment horizontal="left" vertical="center"/>
    </xf>
    <xf numFmtId="0" fontId="9" fillId="5" borderId="0" xfId="0" applyFont="1" applyFill="1" applyAlignment="1">
      <alignment horizontal="center" vertical="center"/>
    </xf>
    <xf numFmtId="0" fontId="9" fillId="5" borderId="5" xfId="0" applyFont="1" applyFill="1" applyBorder="1" applyAlignment="1">
      <alignment horizontal="left" vertical="center"/>
    </xf>
    <xf numFmtId="0" fontId="9" fillId="5" borderId="6" xfId="0" applyFont="1" applyFill="1" applyBorder="1" applyAlignment="1">
      <alignment horizontal="left" vertical="center"/>
    </xf>
    <xf numFmtId="0" fontId="9" fillId="5" borderId="7" xfId="0" applyFont="1" applyFill="1" applyBorder="1" applyAlignment="1">
      <alignment horizontal="left" vertical="center"/>
    </xf>
    <xf numFmtId="168" fontId="9" fillId="5" borderId="5" xfId="0" applyNumberFormat="1" applyFont="1" applyFill="1" applyBorder="1" applyAlignment="1">
      <alignment horizontal="center" vertical="center"/>
    </xf>
    <xf numFmtId="168" fontId="9" fillId="5" borderId="6" xfId="0" applyNumberFormat="1" applyFont="1" applyFill="1" applyBorder="1" applyAlignment="1">
      <alignment horizontal="center" vertical="center"/>
    </xf>
    <xf numFmtId="168" fontId="9" fillId="5" borderId="7" xfId="0" applyNumberFormat="1" applyFont="1" applyFill="1" applyBorder="1" applyAlignment="1">
      <alignment horizontal="center" vertical="center"/>
    </xf>
    <xf numFmtId="168" fontId="9" fillId="5" borderId="0" xfId="0" applyNumberFormat="1" applyFont="1" applyFill="1" applyAlignment="1">
      <alignment horizontal="center" vertical="center"/>
    </xf>
    <xf numFmtId="168" fontId="9" fillId="5" borderId="0" xfId="0" applyNumberFormat="1" applyFont="1" applyFill="1" applyBorder="1" applyAlignment="1">
      <alignment horizontal="center" vertical="center"/>
    </xf>
    <xf numFmtId="0" fontId="9" fillId="5" borderId="0" xfId="0" applyFont="1" applyFill="1" applyAlignment="1">
      <alignment horizontal="center"/>
    </xf>
    <xf numFmtId="0" fontId="10" fillId="5" borderId="0" xfId="0" applyFont="1" applyFill="1" applyAlignment="1">
      <alignment horizontal="center" vertical="center"/>
    </xf>
    <xf numFmtId="9" fontId="9" fillId="5" borderId="0" xfId="0" applyNumberFormat="1" applyFont="1" applyFill="1" applyAlignment="1">
      <alignment horizontal="center" vertical="center"/>
    </xf>
    <xf numFmtId="0" fontId="11" fillId="5" borderId="0" xfId="0" applyFont="1" applyFill="1" applyAlignment="1">
      <alignment horizontal="center" vertical="center"/>
    </xf>
    <xf numFmtId="0" fontId="12" fillId="5" borderId="0" xfId="0" applyFont="1" applyFill="1" applyAlignment="1">
      <alignment horizontal="center" vertical="center"/>
    </xf>
    <xf numFmtId="0" fontId="13" fillId="5" borderId="0" xfId="0" applyFont="1" applyFill="1" applyAlignment="1">
      <alignment horizontal="center" vertical="center"/>
    </xf>
    <xf numFmtId="0" fontId="14" fillId="5" borderId="0" xfId="0" applyFont="1" applyFill="1" applyAlignment="1">
      <alignment horizontal="right" vertical="center"/>
    </xf>
    <xf numFmtId="0" fontId="15" fillId="5" borderId="0" xfId="0" applyFont="1" applyFill="1" applyAlignment="1">
      <alignment horizontal="center" vertical="center"/>
    </xf>
    <xf numFmtId="0" fontId="16" fillId="5" borderId="0" xfId="0" applyFont="1" applyFill="1" applyAlignment="1">
      <alignment horizontal="center" vertical="center"/>
    </xf>
    <xf numFmtId="0" fontId="17" fillId="5" borderId="0" xfId="0" applyFont="1" applyFill="1" applyAlignment="1">
      <alignment horizontal="center" vertical="center"/>
    </xf>
    <xf numFmtId="0" fontId="8" fillId="8" borderId="17" xfId="0" applyFont="1" applyFill="1" applyBorder="1" applyAlignment="1">
      <alignment horizontal="center"/>
    </xf>
  </cellXfs>
  <cellStyles count="2">
    <cellStyle name="Hyperlink" xfId="1" builtinId="8"/>
    <cellStyle name="Normal" xfId="0" builtinId="0"/>
  </cellStyles>
  <dxfs count="6783">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3" formatCode="#,##0"/>
    </dxf>
    <dxf>
      <numFmt numFmtId="3" formatCode="#,##0"/>
    </dxf>
    <dxf>
      <numFmt numFmtId="165" formatCode="[$BDT]\ #,##0"/>
    </dxf>
    <dxf>
      <alignment horizontal="center"/>
    </dxf>
    <dxf>
      <alignment horizontal="center"/>
    </dxf>
    <dxf>
      <numFmt numFmtId="168" formatCode="#,##0,&quot;K&quot;"/>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1" formatCode="0"/>
    </dxf>
    <dxf>
      <numFmt numFmtId="13" formatCode="0%"/>
    </dxf>
    <dxf>
      <numFmt numFmtId="3" formatCode="#,##0"/>
    </dxf>
    <dxf>
      <numFmt numFmtId="165" formatCode="[$BDT]\ #,##0"/>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3" formatCode="#,##0"/>
    </dxf>
    <dxf>
      <numFmt numFmtId="3" formatCode="#,##0"/>
    </dxf>
    <dxf>
      <numFmt numFmtId="165" formatCode="[$BDT]\ #,##0"/>
    </dxf>
    <dxf>
      <alignment horizontal="center"/>
    </dxf>
    <dxf>
      <alignment horizontal="center"/>
    </dxf>
    <dxf>
      <numFmt numFmtId="168" formatCode="#,##0,&quot;K&quot;"/>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1" formatCode="0"/>
    </dxf>
    <dxf>
      <numFmt numFmtId="13" formatCode="0%"/>
    </dxf>
    <dxf>
      <numFmt numFmtId="3" formatCode="#,##0"/>
    </dxf>
    <dxf>
      <numFmt numFmtId="165" formatCode="[$BDT]\ #,##0"/>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3" formatCode="#,##0"/>
    </dxf>
    <dxf>
      <numFmt numFmtId="3" formatCode="#,##0"/>
    </dxf>
    <dxf>
      <numFmt numFmtId="165" formatCode="[$BDT]\ #,##0"/>
    </dxf>
    <dxf>
      <alignment horizontal="center"/>
    </dxf>
    <dxf>
      <alignment horizontal="center"/>
    </dxf>
    <dxf>
      <numFmt numFmtId="168" formatCode="#,##0,&quot;K&quot;"/>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1" formatCode="0"/>
    </dxf>
    <dxf>
      <numFmt numFmtId="13" formatCode="0%"/>
    </dxf>
    <dxf>
      <numFmt numFmtId="3" formatCode="#,##0"/>
    </dxf>
    <dxf>
      <numFmt numFmtId="165" formatCode="[$BDT]\ #,##0"/>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3" formatCode="#,##0"/>
    </dxf>
    <dxf>
      <numFmt numFmtId="3" formatCode="#,##0"/>
    </dxf>
    <dxf>
      <numFmt numFmtId="165" formatCode="[$BDT]\ #,##0"/>
    </dxf>
    <dxf>
      <alignment horizontal="center"/>
    </dxf>
    <dxf>
      <alignment horizontal="center"/>
    </dxf>
    <dxf>
      <numFmt numFmtId="168" formatCode="#,##0,&quot;K&quot;"/>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1" formatCode="0"/>
    </dxf>
    <dxf>
      <numFmt numFmtId="13" formatCode="0%"/>
    </dxf>
    <dxf>
      <numFmt numFmtId="3" formatCode="#,##0"/>
    </dxf>
    <dxf>
      <numFmt numFmtId="165" formatCode="[$BDT]\ #,##0"/>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3" formatCode="#,##0"/>
    </dxf>
    <dxf>
      <numFmt numFmtId="3" formatCode="#,##0"/>
    </dxf>
    <dxf>
      <numFmt numFmtId="165" formatCode="[$BDT]\ #,##0"/>
    </dxf>
    <dxf>
      <alignment horizontal="center"/>
    </dxf>
    <dxf>
      <alignment horizontal="center"/>
    </dxf>
    <dxf>
      <numFmt numFmtId="168" formatCode="#,##0,&quot;K&quot;"/>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1" formatCode="0"/>
    </dxf>
    <dxf>
      <numFmt numFmtId="13" formatCode="0%"/>
    </dxf>
    <dxf>
      <numFmt numFmtId="3" formatCode="#,##0"/>
    </dxf>
    <dxf>
      <numFmt numFmtId="165" formatCode="[$BDT]\ #,##0"/>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3" formatCode="#,##0"/>
    </dxf>
    <dxf>
      <numFmt numFmtId="3" formatCode="#,##0"/>
    </dxf>
    <dxf>
      <numFmt numFmtId="165" formatCode="[$BDT]\ #,##0"/>
    </dxf>
    <dxf>
      <alignment horizontal="center"/>
    </dxf>
    <dxf>
      <alignment horizontal="center"/>
    </dxf>
    <dxf>
      <numFmt numFmtId="168" formatCode="#,##0,&quot;K&quot;"/>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1" formatCode="0"/>
    </dxf>
    <dxf>
      <numFmt numFmtId="13" formatCode="0%"/>
    </dxf>
    <dxf>
      <numFmt numFmtId="3" formatCode="#,##0"/>
    </dxf>
    <dxf>
      <numFmt numFmtId="165" formatCode="[$BDT]\ #,##0"/>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1" formatCode="0"/>
    </dxf>
    <dxf>
      <numFmt numFmtId="13" formatCode="0%"/>
    </dxf>
    <dxf>
      <numFmt numFmtId="3" formatCode="#,##0"/>
    </dxf>
    <dxf>
      <numFmt numFmtId="165" formatCode="[$BDT]\ #,##0"/>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3" formatCode="#,##0"/>
    </dxf>
    <dxf>
      <numFmt numFmtId="3" formatCode="#,##0"/>
    </dxf>
    <dxf>
      <numFmt numFmtId="165" formatCode="[$BDT]\ #,##0"/>
    </dxf>
    <dxf>
      <alignment horizontal="center"/>
    </dxf>
    <dxf>
      <alignment horizontal="center"/>
    </dxf>
    <dxf>
      <numFmt numFmtId="168" formatCode="#,##0,&quot;K&quot;"/>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3" formatCode="#,##0"/>
    </dxf>
    <dxf>
      <numFmt numFmtId="3" formatCode="#,##0"/>
    </dxf>
    <dxf>
      <numFmt numFmtId="165" formatCode="[$BDT]\ #,##0"/>
    </dxf>
    <dxf>
      <alignment horizontal="center"/>
    </dxf>
    <dxf>
      <alignment horizontal="center"/>
    </dxf>
    <dxf>
      <numFmt numFmtId="168" formatCode="#,##0,&quot;K&quot;"/>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1" formatCode="0"/>
    </dxf>
    <dxf>
      <numFmt numFmtId="13" formatCode="0%"/>
    </dxf>
    <dxf>
      <numFmt numFmtId="3" formatCode="#,##0"/>
    </dxf>
    <dxf>
      <numFmt numFmtId="165" formatCode="[$BDT]\ #,##0"/>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3" formatCode="#,##0"/>
    </dxf>
    <dxf>
      <numFmt numFmtId="3" formatCode="#,##0"/>
    </dxf>
    <dxf>
      <numFmt numFmtId="165" formatCode="[$BDT]\ #,##0"/>
    </dxf>
    <dxf>
      <alignment horizontal="center"/>
    </dxf>
    <dxf>
      <alignment horizontal="center"/>
    </dxf>
    <dxf>
      <numFmt numFmtId="168" formatCode="#,##0,&quot;K&quot;"/>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1" formatCode="0"/>
    </dxf>
    <dxf>
      <numFmt numFmtId="13" formatCode="0%"/>
    </dxf>
    <dxf>
      <numFmt numFmtId="3" formatCode="#,##0"/>
    </dxf>
    <dxf>
      <numFmt numFmtId="165" formatCode="[$BDT]\ #,##0"/>
    </dxf>
    <dxf>
      <numFmt numFmtId="13" formatCode="0%"/>
    </dxf>
    <dxf>
      <numFmt numFmtId="3" formatCode="#,##0"/>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font>
        <sz val="8"/>
        <name val="Arial"/>
      </font>
      <fill>
        <patternFill patternType="solid">
          <fgColor indexed="64"/>
          <bgColor theme="0"/>
        </patternFill>
      </fill>
      <alignment horizontal="center"/>
    </dxf>
    <dxf>
      <alignment vertical="center"/>
    </dxf>
    <dxf>
      <alignment wrapText="1"/>
    </dxf>
    <dxf>
      <alignment horizontal="center"/>
    </dxf>
    <dxf>
      <alignment wrapText="1"/>
    </dxf>
    <dxf>
      <numFmt numFmtId="3" formatCode="#,##0"/>
    </dxf>
    <dxf>
      <alignment wrapText="1"/>
    </dxf>
    <dxf>
      <fill>
        <patternFill patternType="none">
          <bgColor auto="1"/>
        </patternFill>
      </fill>
    </dxf>
    <dxf>
      <font>
        <color rgb="FF00B0F0"/>
      </font>
    </dxf>
    <dxf>
      <font>
        <color rgb="FF00B050"/>
      </font>
    </dxf>
    <dxf>
      <font>
        <color rgb="FFFFC000"/>
      </font>
    </dxf>
    <dxf>
      <font>
        <color rgb="FF7030A0"/>
      </font>
    </dxf>
    <dxf>
      <font>
        <b/>
      </font>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alignment vertical="center"/>
    </dxf>
    <dxf>
      <border>
        <horizontal/>
      </border>
    </dxf>
    <dxf>
      <numFmt numFmtId="1" formatCode="0"/>
    </dxf>
    <dxf>
      <numFmt numFmtId="3" formatCode="#,##0"/>
    </dxf>
    <dxf>
      <numFmt numFmtId="165" formatCode="[$BDT]\ #,##0"/>
    </dxf>
    <dxf>
      <numFmt numFmtId="164" formatCode="#,##0.0,&quot;K&quot;"/>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numFmt numFmtId="3" formatCode="#,##0"/>
    </dxf>
    <dxf>
      <numFmt numFmtId="3" formatCode="#,##0"/>
    </dxf>
    <dxf>
      <numFmt numFmtId="165" formatCode="[$BDT]\ #,##0"/>
    </dxf>
    <dxf>
      <alignment horizontal="center"/>
    </dxf>
    <dxf>
      <alignment horizontal="center"/>
    </dxf>
    <dxf>
      <numFmt numFmtId="168" formatCode="#,##0,&quot;K&quot;"/>
    </dxf>
    <dxf>
      <numFmt numFmtId="1" formatCode="0"/>
    </dxf>
    <dxf>
      <numFmt numFmtId="13" formatCode="0%"/>
    </dxf>
    <dxf>
      <numFmt numFmtId="165" formatCode="[$BDT]\ #,##0"/>
    </dxf>
    <dxf>
      <alignment horizontal="center"/>
    </dxf>
    <dxf>
      <alignment horizontal="center"/>
    </dxf>
    <dxf>
      <alignment vertical="center"/>
    </dxf>
    <dxf>
      <alignment vertical="center"/>
    </dxf>
    <dxf>
      <alignment vertical="center"/>
    </dxf>
    <dxf>
      <alignment horizontal="center"/>
    </dxf>
    <dxf>
      <alignment horizontal="center"/>
    </dxf>
    <dxf>
      <alignment horizontal="left"/>
    </dxf>
    <dxf>
      <font>
        <name val="Arial"/>
      </font>
    </dxf>
    <dxf>
      <font>
        <name val="Arial"/>
      </font>
    </dxf>
    <dxf>
      <font>
        <name val="Arial"/>
      </font>
    </dxf>
    <dxf>
      <font>
        <name val="Arial"/>
      </font>
    </dxf>
    <dxf>
      <font>
        <name val="Arial"/>
      </font>
    </dxf>
    <dxf>
      <font>
        <name val="Arial"/>
      </font>
    </dxf>
    <dxf>
      <alignment horizontal="center"/>
    </dxf>
    <dxf>
      <alignment horizontal="center"/>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8"/>
      </font>
    </dxf>
    <dxf>
      <font>
        <sz val="8"/>
      </font>
    </dxf>
    <dxf>
      <alignment horizontal="center"/>
    </dxf>
    <dxf>
      <alignment horizontal="right"/>
    </dxf>
    <dxf>
      <font>
        <color rgb="FF00B0F0"/>
      </font>
    </dxf>
    <dxf>
      <font>
        <b/>
      </font>
    </dxf>
    <dxf>
      <font>
        <b/>
      </font>
    </dxf>
    <dxf>
      <font>
        <color rgb="FF00B050"/>
      </font>
    </dxf>
    <dxf>
      <font>
        <color rgb="FFFFC000"/>
      </font>
    </dxf>
    <dxf>
      <font>
        <b/>
      </font>
    </dxf>
    <dxf>
      <font>
        <color rgb="FF7030A0"/>
      </font>
    </dxf>
    <dxf>
      <font>
        <b/>
      </font>
    </dxf>
    <dxf>
      <font>
        <color theme="8"/>
      </font>
    </dxf>
    <dxf>
      <font>
        <b/>
      </font>
    </dxf>
    <dxf>
      <font>
        <color theme="9"/>
      </font>
    </dxf>
    <dxf>
      <font>
        <b/>
      </font>
    </dxf>
    <dxf>
      <font>
        <b/>
      </font>
    </dxf>
    <dxf>
      <font>
        <color theme="4" tint="-0.499984740745262"/>
      </font>
    </dxf>
    <dxf>
      <font>
        <b/>
      </font>
    </dxf>
    <dxf>
      <font>
        <color rgb="FF7C0A30"/>
      </font>
    </dxf>
    <dxf>
      <font>
        <sz val="9"/>
      </font>
      <numFmt numFmtId="168" formatCode="#,##0,&quot;K&quot;"/>
    </dxf>
    <dxf>
      <border>
        <bottom/>
        <horizontal/>
      </border>
    </dxf>
    <dxf>
      <font>
        <sz val="9"/>
      </font>
    </dxf>
    <dxf>
      <font>
        <sz val="9"/>
      </font>
    </dxf>
    <dxf>
      <font>
        <sz val="9"/>
      </font>
    </dxf>
    <dxf>
      <font>
        <sz val="9"/>
      </font>
    </dxf>
    <dxf>
      <font>
        <sz val="9"/>
      </font>
    </dxf>
    <dxf>
      <font>
        <sz val="9"/>
      </font>
    </dxf>
    <dxf>
      <numFmt numFmtId="1" formatCode="0"/>
    </dxf>
    <dxf>
      <numFmt numFmtId="165" formatCode="[$BDT]\ #,##0"/>
    </dxf>
    <dxf>
      <alignment horizontal="center"/>
    </dxf>
    <dxf>
      <alignment horizontal="center"/>
    </dxf>
    <dxf>
      <numFmt numFmtId="1" formatCode="0"/>
    </dxf>
    <dxf>
      <numFmt numFmtId="3" formatCode="#,##0"/>
    </dxf>
    <dxf>
      <font>
        <name val="Arial"/>
      </font>
    </dxf>
    <dxf>
      <font>
        <name val="Arial"/>
      </font>
    </dxf>
    <dxf>
      <font>
        <name val="Arial"/>
      </font>
    </dxf>
    <dxf>
      <font>
        <name val="Arial"/>
      </font>
    </dxf>
    <dxf>
      <font>
        <name val="Arial"/>
      </font>
    </dxf>
    <dxf>
      <font>
        <name val="Arial"/>
      </font>
    </dxf>
    <dxf>
      <numFmt numFmtId="3"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font>
        <sz val="8"/>
      </font>
      <fill>
        <patternFill patternType="solid">
          <fgColor indexed="64"/>
          <bgColor theme="0"/>
        </patternFill>
      </fill>
    </dxf>
    <dxf>
      <border>
        <vertical style="thin">
          <color auto="1"/>
        </vertical>
        <horizontal style="thin">
          <color auto="1"/>
        </horizontal>
      </border>
    </dxf>
    <dxf>
      <border>
        <vertical style="thin">
          <color auto="1"/>
        </vertical>
        <horizontal style="thin">
          <color auto="1"/>
        </horizontal>
      </border>
    </dxf>
    <dxf>
      <border>
        <vertical style="thin">
          <color theme="0" tint="-0.24994659260841701"/>
        </vertical>
        <horizontal style="thin">
          <color theme="0" tint="-0.24994659260841701"/>
        </horizontal>
      </border>
    </dxf>
    <dxf>
      <border>
        <vertical style="thin">
          <color theme="0" tint="-0.24994659260841701"/>
        </vertical>
        <horizontal style="thin">
          <color theme="0" tint="-0.24994659260841701"/>
        </horizontal>
      </border>
    </dxf>
    <dxf>
      <alignment horizontal="center"/>
    </dxf>
    <dxf>
      <alignment horizontal="center"/>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ont>
        <sz val="9"/>
      </font>
    </dxf>
    <dxf>
      <font>
        <sz val="9"/>
      </font>
    </dxf>
    <dxf>
      <alignment horizontal="center"/>
    </dxf>
    <dxf>
      <font>
        <sz val="8"/>
      </font>
    </dxf>
    <dxf>
      <font>
        <sz val="8"/>
      </font>
    </dxf>
    <dxf>
      <font>
        <sz val="8"/>
      </font>
    </dxf>
    <dxf>
      <font>
        <sz val="8"/>
      </font>
    </dxf>
    <dxf>
      <alignment horizontal="center"/>
    </dxf>
    <dxf>
      <alignment horizontal="left"/>
    </dxf>
    <dxf>
      <alignment horizontal="left"/>
    </dxf>
    <dxf>
      <alignment horizontal="left"/>
    </dxf>
    <dxf>
      <font>
        <sz val="9"/>
      </font>
    </dxf>
    <dxf>
      <font>
        <sz val="9"/>
      </font>
    </dxf>
    <dxf>
      <font>
        <sz val="9"/>
      </font>
    </dxf>
    <dxf>
      <font>
        <sz val="9"/>
      </font>
    </dxf>
    <dxf>
      <font>
        <sz val="9"/>
      </font>
    </dxf>
    <dxf>
      <font>
        <sz val="9"/>
      </font>
    </dxf>
    <dxf>
      <numFmt numFmtId="168" formatCode="#,##0,&quot;K&quot;"/>
    </dxf>
    <dxf>
      <numFmt numFmtId="1" formatCode="0"/>
    </dxf>
    <dxf>
      <numFmt numFmtId="3" formatCode="#,##0"/>
    </dxf>
    <dxf>
      <numFmt numFmtId="165" formatCode="[$BDT]\ #,##0"/>
    </dxf>
    <dxf>
      <numFmt numFmtId="1" formatCode="0"/>
    </dxf>
    <dxf>
      <numFmt numFmtId="13" formatCode="0%"/>
    </dxf>
    <dxf>
      <numFmt numFmtId="3" formatCode="#,##0"/>
    </dxf>
    <dxf>
      <numFmt numFmtId="165" formatCode="[$BDT]\ #,##0"/>
    </dxf>
    <dxf>
      <font>
        <color rgb="FF9C0006"/>
      </font>
      <fill>
        <patternFill>
          <bgColor rgb="FFFFC7CE"/>
        </patternFill>
      </fill>
    </dxf>
    <dxf>
      <font>
        <b val="0"/>
        <i val="0"/>
        <strike val="0"/>
        <condense val="0"/>
        <extend val="0"/>
        <outline val="0"/>
        <shadow val="0"/>
        <u val="none"/>
        <vertAlign val="baseline"/>
        <sz val="11"/>
        <color theme="1"/>
        <name val="Franklin Gothic Book"/>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1"/>
        <name val="Franklin Gothic Book"/>
        <scheme val="none"/>
      </font>
      <numFmt numFmtId="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Franklin Gothic Book"/>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Franklin Gothic Book"/>
        <scheme val="none"/>
      </font>
      <numFmt numFmtId="167" formatCode="[$-409]dd\-mmm\-yy;@"/>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Franklin Gothic Book"/>
        <scheme val="none"/>
      </font>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rgb="FFFFFFFF"/>
        <name val="Franklin Gothic Book"/>
        <scheme val="none"/>
      </font>
      <fill>
        <patternFill patternType="solid">
          <fgColor rgb="FF3E6595"/>
          <bgColor rgb="FF1F4E78"/>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Franklin Gothic Book"/>
        <family val="2"/>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Franklin Gothic Book"/>
        <family val="2"/>
        <scheme val="none"/>
      </font>
      <numFmt numFmtId="3"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Franklin Gothic Book"/>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FFFFFF"/>
        <name val="Franklin Gothic Book"/>
        <family val="2"/>
        <scheme val="none"/>
      </font>
      <fill>
        <patternFill patternType="solid">
          <fgColor rgb="FF3E6595"/>
          <bgColor rgb="FF1F4E78"/>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z val="9"/>
        <color theme="0"/>
      </font>
    </dxf>
    <dxf>
      <font>
        <sz val="9"/>
        <color theme="0"/>
        <name val="Arial"/>
        <family val="2"/>
      </font>
      <fill>
        <patternFill>
          <bgColor theme="3" tint="-0.24994659260841701"/>
        </patternFill>
      </fill>
    </dxf>
  </dxfs>
  <tableStyles count="1" defaultTableStyle="TableStyleMedium2" defaultPivotStyle="PivotStyleLight16">
    <tableStyle name="Slicer Style 1" pivot="0" table="0" count="4" xr9:uid="{9FD7D1D7-FF50-445C-87AC-5BC86AB7F94D}">
      <tableStyleElement type="wholeTable" dxfId="6782"/>
      <tableStyleElement type="headerRow" dxfId="6781"/>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AA64F"/>
      <rgbColor rgb="FF800080"/>
      <rgbColor rgb="FF00B050"/>
      <rgbColor rgb="FFB5C3DB"/>
      <rgbColor rgb="FF4F81BD"/>
      <rgbColor rgb="FF93A9CE"/>
      <rgbColor rgb="FFAB4744"/>
      <rgbColor rgb="FFF9F9F9"/>
      <rgbColor rgb="FFCCFFFF"/>
      <rgbColor rgb="FF660066"/>
      <rgbColor rgb="FFDC853E"/>
      <rgbColor rgb="FF3E6595"/>
      <rgbColor rgb="FFD9D9D9"/>
      <rgbColor rgb="FF000080"/>
      <rgbColor rgb="FFFF00FF"/>
      <rgbColor rgb="FFFFFF00"/>
      <rgbColor rgb="FF00FFFF"/>
      <rgbColor rgb="FF800080"/>
      <rgbColor rgb="FF800000"/>
      <rgbColor rgb="FF4672A8"/>
      <rgbColor rgb="FF0000FF"/>
      <rgbColor rgb="FF00CCFF"/>
      <rgbColor rgb="FFCCFFFF"/>
      <rgbColor rgb="FFCCFFCC"/>
      <rgbColor rgb="FFFFFF99"/>
      <rgbColor rgb="FF99CCFF"/>
      <rgbColor rgb="FFD09493"/>
      <rgbColor rgb="FFCC99FF"/>
      <rgbColor rgb="FFFFCC99"/>
      <rgbColor rgb="FF4472C4"/>
      <rgbColor rgb="FF4978B1"/>
      <rgbColor rgb="FF99CC00"/>
      <rgbColor rgb="FFFFCC00"/>
      <rgbColor rgb="FFFF9900"/>
      <rgbColor rgb="FFFF6600"/>
      <rgbColor rgb="FF725990"/>
      <rgbColor rgb="FF7E9BC7"/>
      <rgbColor rgb="FF003366"/>
      <rgbColor rgb="FF4299B0"/>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7C0A30"/>
      <color rgb="FFD1FFE6"/>
      <color rgb="FFA7FFCF"/>
      <color rgb="FFCDF2FF"/>
      <color rgb="FFFFF4D1"/>
      <color rgb="FFEEF8E4"/>
      <color rgb="FFC6E6A2"/>
      <color rgb="FFFFCC99"/>
      <color rgb="FFFFCC66"/>
    </mruColors>
  </colors>
  <extLst>
    <ext xmlns:x14="http://schemas.microsoft.com/office/spreadsheetml/2009/9/main" uri="{46F421CA-312F-682f-3DD2-61675219B42D}">
      <x14:dxfs count="2">
        <dxf>
          <font>
            <sz val="8"/>
          </font>
          <fill>
            <patternFill>
              <bgColor rgb="FF00B0F0"/>
            </patternFill>
          </fill>
        </dxf>
        <dxf>
          <font>
            <color theme="0"/>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[Finance_Dashboard_Dataset-2 (1) (1).xlsx]Sheet1!PivotTable4</c:name>
    <c:fmtId val="7"/>
  </c:pivotSource>
  <c:chart>
    <c:title>
      <c:tx>
        <c:rich>
          <a:bodyPr rot="0" spcFirstLastPara="1" vertOverflow="ellipsis" vert="horz" wrap="square" anchor="ctr" anchorCtr="1"/>
          <a:lstStyle/>
          <a:p>
            <a:pPr lvl="1" algn="l" rtl="0">
              <a:defRPr sz="1400" b="0" i="0" u="none" strike="noStrike" kern="1200" spc="0" baseline="0">
                <a:solidFill>
                  <a:srgbClr val="000000">
                    <a:lumMod val="65000"/>
                    <a:lumOff val="35000"/>
                  </a:srgbClr>
                </a:solidFill>
                <a:latin typeface="+mn-lt"/>
                <a:ea typeface="+mn-ea"/>
                <a:cs typeface="+mn-cs"/>
              </a:defRPr>
            </a:pPr>
            <a:r>
              <a:rPr lang="en-US" sz="1100">
                <a:latin typeface="Arial" panose="020B0604020202020204" pitchFamily="34" charset="0"/>
                <a:cs typeface="Arial" panose="020B0604020202020204" pitchFamily="34" charset="0"/>
              </a:rPr>
              <a:t>EXPENSES</a:t>
            </a:r>
            <a:r>
              <a:rPr lang="en-US" sz="1100" baseline="0">
                <a:latin typeface="Arial" panose="020B0604020202020204" pitchFamily="34" charset="0"/>
                <a:cs typeface="Arial" panose="020B0604020202020204" pitchFamily="34" charset="0"/>
              </a:rPr>
              <a:t> BY CATEGORY </a:t>
            </a:r>
            <a:endParaRPr lang="en-US" sz="1100">
              <a:latin typeface="Arial" panose="020B0604020202020204" pitchFamily="34" charset="0"/>
              <a:cs typeface="Arial" panose="020B0604020202020204" pitchFamily="34" charset="0"/>
            </a:endParaRPr>
          </a:p>
        </c:rich>
      </c:tx>
      <c:layout>
        <c:manualLayout>
          <c:xMode val="edge"/>
          <c:yMode val="edge"/>
          <c:x val="0.11581339766403295"/>
          <c:y val="5.7732576993336678E-2"/>
        </c:manualLayout>
      </c:layout>
      <c:overlay val="0"/>
      <c:spPr>
        <a:noFill/>
        <a:ln>
          <a:noFill/>
        </a:ln>
        <a:effectLst/>
      </c:spPr>
      <c:txPr>
        <a:bodyPr rot="0" spcFirstLastPara="1" vertOverflow="ellipsis" vert="horz" wrap="square" anchor="ctr" anchorCtr="1"/>
        <a:lstStyle/>
        <a:p>
          <a:pPr lvl="1" algn="l" rtl="0">
            <a:defRPr sz="1400" b="0" i="0" u="none" strike="noStrike" kern="1200" spc="0" baseline="0">
              <a:solidFill>
                <a:srgbClr val="000000">
                  <a:lumMod val="65000"/>
                  <a:lumOff val="35000"/>
                </a:srgb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00B0F0"/>
          </a:solidFill>
          <a:ln w="19050">
            <a:solidFill>
              <a:schemeClr val="lt1"/>
            </a:solidFill>
          </a:ln>
          <a:effectLst/>
        </c:spPr>
      </c:pivotFmt>
      <c:pivotFmt>
        <c:idx val="22"/>
        <c:spPr>
          <a:solidFill>
            <a:srgbClr val="00B050"/>
          </a:solidFill>
          <a:ln w="19050">
            <a:solidFill>
              <a:schemeClr val="lt1"/>
            </a:solidFill>
          </a:ln>
          <a:effectLst/>
        </c:spPr>
      </c:pivotFmt>
      <c:pivotFmt>
        <c:idx val="23"/>
        <c:spPr>
          <a:solidFill>
            <a:srgbClr val="FFC000"/>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s>
    <c:plotArea>
      <c:layout>
        <c:manualLayout>
          <c:layoutTarget val="inner"/>
          <c:xMode val="edge"/>
          <c:yMode val="edge"/>
          <c:x val="8.1857515420100113E-2"/>
          <c:y val="0.16284289276807981"/>
          <c:w val="0.7989631210652085"/>
          <c:h val="0.74738154613466323"/>
        </c:manualLayout>
      </c:layout>
      <c:pieChart>
        <c:varyColors val="1"/>
        <c:ser>
          <c:idx val="0"/>
          <c:order val="0"/>
          <c:tx>
            <c:strRef>
              <c:f>Sheet1!$O$6</c:f>
              <c:strCache>
                <c:ptCount val="1"/>
                <c:pt idx="0">
                  <c:v>Amount(BDT)</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FF53-4EF4-9BD1-110FB57BA4CB}"/>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FF53-4EF4-9BD1-110FB57BA4CB}"/>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FF53-4EF4-9BD1-110FB57BA4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53-4EF4-9BD1-110FB57BA4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F53-4EF4-9BD1-110FB57BA4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F53-4EF4-9BD1-110FB57BA4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F53-4EF4-9BD1-110FB57BA4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F53-4EF4-9BD1-110FB57BA4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Sheet1!$N$7:$N$15</c:f>
              <c:strCache>
                <c:ptCount val="8"/>
                <c:pt idx="0">
                  <c:v>Shopping</c:v>
                </c:pt>
                <c:pt idx="1">
                  <c:v>Utilities</c:v>
                </c:pt>
                <c:pt idx="2">
                  <c:v>Airtime/Data</c:v>
                </c:pt>
                <c:pt idx="3">
                  <c:v>Health</c:v>
                </c:pt>
                <c:pt idx="4">
                  <c:v>Entertainment</c:v>
                </c:pt>
                <c:pt idx="5">
                  <c:v>Food</c:v>
                </c:pt>
                <c:pt idx="6">
                  <c:v>Transport</c:v>
                </c:pt>
                <c:pt idx="7">
                  <c:v>Other</c:v>
                </c:pt>
              </c:strCache>
            </c:strRef>
          </c:cat>
          <c:val>
            <c:numRef>
              <c:f>Sheet1!$O$7:$O$15</c:f>
              <c:numCache>
                <c:formatCode>#,##0,"K"</c:formatCode>
                <c:ptCount val="8"/>
                <c:pt idx="0">
                  <c:v>73732.91</c:v>
                </c:pt>
                <c:pt idx="1">
                  <c:v>50433.85</c:v>
                </c:pt>
                <c:pt idx="2">
                  <c:v>43402.89</c:v>
                </c:pt>
                <c:pt idx="3">
                  <c:v>37395.919999999998</c:v>
                </c:pt>
                <c:pt idx="4">
                  <c:v>35842.400000000001</c:v>
                </c:pt>
                <c:pt idx="5">
                  <c:v>35616.339999999997</c:v>
                </c:pt>
                <c:pt idx="6">
                  <c:v>34111.49</c:v>
                </c:pt>
                <c:pt idx="7">
                  <c:v>20596.62</c:v>
                </c:pt>
              </c:numCache>
            </c:numRef>
          </c:val>
          <c:extLst>
            <c:ext xmlns:c16="http://schemas.microsoft.com/office/drawing/2014/chart" uri="{C3380CC4-5D6E-409C-BE32-E72D297353CC}">
              <c16:uniqueId val="{00000010-FF53-4EF4-9BD1-110FB57BA4CB}"/>
            </c:ext>
          </c:extLst>
        </c:ser>
        <c:ser>
          <c:idx val="1"/>
          <c:order val="1"/>
          <c:tx>
            <c:strRef>
              <c:f>Sheet1!$P$6</c:f>
              <c:strCache>
                <c:ptCount val="1"/>
                <c:pt idx="0">
                  <c:v>% of 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2-FF53-4EF4-9BD1-110FB57BA4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4-FF53-4EF4-9BD1-110FB57BA4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6-FF53-4EF4-9BD1-110FB57BA4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8-FF53-4EF4-9BD1-110FB57BA4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A-FF53-4EF4-9BD1-110FB57BA4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C-FF53-4EF4-9BD1-110FB57BA4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E-FF53-4EF4-9BD1-110FB57BA4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0-FF53-4EF4-9BD1-110FB57BA4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Sheet1!$N$7:$N$15</c:f>
              <c:strCache>
                <c:ptCount val="8"/>
                <c:pt idx="0">
                  <c:v>Shopping</c:v>
                </c:pt>
                <c:pt idx="1">
                  <c:v>Utilities</c:v>
                </c:pt>
                <c:pt idx="2">
                  <c:v>Airtime/Data</c:v>
                </c:pt>
                <c:pt idx="3">
                  <c:v>Health</c:v>
                </c:pt>
                <c:pt idx="4">
                  <c:v>Entertainment</c:v>
                </c:pt>
                <c:pt idx="5">
                  <c:v>Food</c:v>
                </c:pt>
                <c:pt idx="6">
                  <c:v>Transport</c:v>
                </c:pt>
                <c:pt idx="7">
                  <c:v>Other</c:v>
                </c:pt>
              </c:strCache>
            </c:strRef>
          </c:cat>
          <c:val>
            <c:numRef>
              <c:f>Sheet1!$P$7:$P$15</c:f>
              <c:numCache>
                <c:formatCode>0%</c:formatCode>
                <c:ptCount val="8"/>
                <c:pt idx="0">
                  <c:v>0.22266895521737198</c:v>
                </c:pt>
                <c:pt idx="1">
                  <c:v>0.1523071948074429</c:v>
                </c:pt>
                <c:pt idx="2">
                  <c:v>0.13107411832402277</c:v>
                </c:pt>
                <c:pt idx="3">
                  <c:v>0.11293343007610067</c:v>
                </c:pt>
                <c:pt idx="4">
                  <c:v>0.10824189307709588</c:v>
                </c:pt>
                <c:pt idx="5">
                  <c:v>0.10755920546831385</c:v>
                </c:pt>
                <c:pt idx="6">
                  <c:v>0.10301464894316298</c:v>
                </c:pt>
                <c:pt idx="7">
                  <c:v>6.2200554086489022E-2</c:v>
                </c:pt>
              </c:numCache>
            </c:numRef>
          </c:val>
          <c:extLst>
            <c:ext xmlns:c16="http://schemas.microsoft.com/office/drawing/2014/chart" uri="{C3380CC4-5D6E-409C-BE32-E72D297353CC}">
              <c16:uniqueId val="{00000021-FF53-4EF4-9BD1-110FB57BA4CB}"/>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[Finance_Dashboard_Dataset-2 (1) (1).xlsx]Sheet1!PivotTable8</c:name>
    <c:fmtId val="5"/>
  </c:pivotSource>
  <c:chart>
    <c:title>
      <c:tx>
        <c:rich>
          <a:bodyPr rot="0" spcFirstLastPara="1" vertOverflow="ellipsis" vert="horz" wrap="square" anchor="ctr" anchorCtr="1"/>
          <a:lstStyle/>
          <a:p>
            <a:pPr algn="l">
              <a:defRPr sz="11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100">
                <a:latin typeface="Arial" panose="020B0604020202020204" pitchFamily="34" charset="0"/>
                <a:cs typeface="Arial" panose="020B0604020202020204" pitchFamily="34" charset="0"/>
              </a:rPr>
              <a:t>CATEGORY</a:t>
            </a:r>
            <a:r>
              <a:rPr lang="en-US" sz="1100" baseline="0">
                <a:latin typeface="Arial" panose="020B0604020202020204" pitchFamily="34" charset="0"/>
                <a:cs typeface="Arial" panose="020B0604020202020204" pitchFamily="34" charset="0"/>
              </a:rPr>
              <a:t> BREAKDOWN</a:t>
            </a:r>
            <a:endParaRPr lang="en-US" sz="1100">
              <a:latin typeface="Arial" panose="020B0604020202020204" pitchFamily="34" charset="0"/>
              <a:cs typeface="Arial" panose="020B0604020202020204" pitchFamily="34" charset="0"/>
            </a:endParaRPr>
          </a:p>
        </c:rich>
      </c:tx>
      <c:layout>
        <c:manualLayout>
          <c:xMode val="edge"/>
          <c:yMode val="edge"/>
          <c:x val="1.8982921994118135E-2"/>
          <c:y val="3.2573289902280131E-2"/>
        </c:manualLayout>
      </c:layout>
      <c:overlay val="0"/>
      <c:spPr>
        <a:noFill/>
        <a:ln>
          <a:noFill/>
        </a:ln>
        <a:effectLst/>
      </c:spPr>
      <c:txPr>
        <a:bodyPr rot="0" spcFirstLastPara="1" vertOverflow="ellipsis" vert="horz" wrap="square" anchor="ctr" anchorCtr="1"/>
        <a:lstStyle/>
        <a:p>
          <a:pPr algn="l">
            <a:defRPr sz="11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pivotFmt>
      <c:pivotFmt>
        <c:idx val="4"/>
        <c:spPr>
          <a:solidFill>
            <a:srgbClr val="00B050"/>
          </a:solidFill>
          <a:ln>
            <a:noFill/>
          </a:ln>
          <a:effectLst/>
        </c:spPr>
      </c:pivotFmt>
      <c:pivotFmt>
        <c:idx val="5"/>
        <c:spPr>
          <a:solidFill>
            <a:srgbClr val="FFC000"/>
          </a:solidFill>
          <a:ln>
            <a:noFill/>
          </a:ln>
          <a:effectLst/>
        </c:spPr>
      </c:pivotFmt>
      <c:pivotFmt>
        <c:idx val="6"/>
        <c:spPr>
          <a:solidFill>
            <a:schemeClr val="accent4"/>
          </a:solidFill>
          <a:ln>
            <a:noFill/>
          </a:ln>
          <a:effectLst/>
        </c:spPr>
      </c:pivotFmt>
      <c:pivotFmt>
        <c:idx val="7"/>
        <c:spPr>
          <a:solidFill>
            <a:schemeClr val="accent5"/>
          </a:solidFill>
          <a:ln>
            <a:noFill/>
          </a:ln>
          <a:effectLst/>
        </c:spPr>
      </c:pivotFmt>
      <c:pivotFmt>
        <c:idx val="8"/>
        <c:spPr>
          <a:solidFill>
            <a:schemeClr val="accent6"/>
          </a:solidFill>
          <a:ln>
            <a:noFill/>
          </a:ln>
          <a:effectLst/>
        </c:spPr>
      </c:pivotFmt>
      <c:pivotFmt>
        <c:idx val="9"/>
        <c:spPr>
          <a:solidFill>
            <a:schemeClr val="tx2"/>
          </a:solidFill>
          <a:ln>
            <a:noFill/>
          </a:ln>
          <a:effectLst/>
        </c:spPr>
      </c:pivotFmt>
      <c:pivotFmt>
        <c:idx val="10"/>
        <c:spPr>
          <a:solidFill>
            <a:schemeClr val="accent2">
              <a:lumMod val="50000"/>
            </a:schemeClr>
          </a:solidFill>
          <a:ln>
            <a:noFill/>
          </a:ln>
          <a:effectLst/>
        </c:spPr>
      </c:pivotFmt>
    </c:pivotFmts>
    <c:plotArea>
      <c:layout>
        <c:manualLayout>
          <c:layoutTarget val="inner"/>
          <c:xMode val="edge"/>
          <c:yMode val="edge"/>
          <c:x val="4.1315268552324813E-2"/>
          <c:y val="0.25791156698336104"/>
          <c:w val="0.93013885834103138"/>
          <c:h val="0.44240033168092335"/>
        </c:manualLayout>
      </c:layout>
      <c:barChart>
        <c:barDir val="col"/>
        <c:grouping val="clustered"/>
        <c:varyColors val="0"/>
        <c:ser>
          <c:idx val="0"/>
          <c:order val="0"/>
          <c:tx>
            <c:strRef>
              <c:f>Sheet1!$G$28</c:f>
              <c:strCache>
                <c:ptCount val="1"/>
                <c:pt idx="0">
                  <c:v>Total</c:v>
                </c:pt>
              </c:strCache>
            </c:strRef>
          </c:tx>
          <c:spPr>
            <a:solidFill>
              <a:schemeClr val="accent1"/>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1-2C9C-4CA9-A1D2-E4D5BC100A20}"/>
              </c:ext>
            </c:extLst>
          </c:dPt>
          <c:dPt>
            <c:idx val="1"/>
            <c:invertIfNegative val="0"/>
            <c:bubble3D val="0"/>
            <c:spPr>
              <a:solidFill>
                <a:srgbClr val="00B050"/>
              </a:solidFill>
              <a:ln>
                <a:noFill/>
              </a:ln>
              <a:effectLst/>
            </c:spPr>
            <c:extLst>
              <c:ext xmlns:c16="http://schemas.microsoft.com/office/drawing/2014/chart" uri="{C3380CC4-5D6E-409C-BE32-E72D297353CC}">
                <c16:uniqueId val="{00000002-2C9C-4CA9-A1D2-E4D5BC100A20}"/>
              </c:ext>
            </c:extLst>
          </c:dPt>
          <c:dPt>
            <c:idx val="2"/>
            <c:invertIfNegative val="0"/>
            <c:bubble3D val="0"/>
            <c:spPr>
              <a:solidFill>
                <a:srgbClr val="FFC000"/>
              </a:solidFill>
              <a:ln>
                <a:noFill/>
              </a:ln>
              <a:effectLst/>
            </c:spPr>
            <c:extLst>
              <c:ext xmlns:c16="http://schemas.microsoft.com/office/drawing/2014/chart" uri="{C3380CC4-5D6E-409C-BE32-E72D297353CC}">
                <c16:uniqueId val="{00000003-2C9C-4CA9-A1D2-E4D5BC100A2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4-2C9C-4CA9-A1D2-E4D5BC100A20}"/>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5-2C9C-4CA9-A1D2-E4D5BC100A20}"/>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6-2C9C-4CA9-A1D2-E4D5BC100A20}"/>
              </c:ext>
            </c:extLst>
          </c:dPt>
          <c:dPt>
            <c:idx val="6"/>
            <c:invertIfNegative val="0"/>
            <c:bubble3D val="0"/>
            <c:spPr>
              <a:solidFill>
                <a:schemeClr val="tx2"/>
              </a:solidFill>
              <a:ln>
                <a:noFill/>
              </a:ln>
              <a:effectLst/>
            </c:spPr>
            <c:extLst>
              <c:ext xmlns:c16="http://schemas.microsoft.com/office/drawing/2014/chart" uri="{C3380CC4-5D6E-409C-BE32-E72D297353CC}">
                <c16:uniqueId val="{00000007-2C9C-4CA9-A1D2-E4D5BC100A20}"/>
              </c:ext>
            </c:extLst>
          </c:dPt>
          <c:dPt>
            <c:idx val="7"/>
            <c:invertIfNegative val="0"/>
            <c:bubble3D val="0"/>
            <c:spPr>
              <a:solidFill>
                <a:schemeClr val="accent2">
                  <a:lumMod val="50000"/>
                </a:schemeClr>
              </a:solidFill>
              <a:ln>
                <a:noFill/>
              </a:ln>
              <a:effectLst/>
            </c:spPr>
            <c:extLst>
              <c:ext xmlns:c16="http://schemas.microsoft.com/office/drawing/2014/chart" uri="{C3380CC4-5D6E-409C-BE32-E72D297353CC}">
                <c16:uniqueId val="{00000008-2C9C-4CA9-A1D2-E4D5BC100A2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Sheet1!$F$29:$F$37</c:f>
              <c:strCache>
                <c:ptCount val="8"/>
                <c:pt idx="0">
                  <c:v>Shopping</c:v>
                </c:pt>
                <c:pt idx="1">
                  <c:v>Utilities</c:v>
                </c:pt>
                <c:pt idx="2">
                  <c:v>Airtime/Data</c:v>
                </c:pt>
                <c:pt idx="3">
                  <c:v>Health</c:v>
                </c:pt>
                <c:pt idx="4">
                  <c:v>Entertainment</c:v>
                </c:pt>
                <c:pt idx="5">
                  <c:v>Food</c:v>
                </c:pt>
                <c:pt idx="6">
                  <c:v>Transport</c:v>
                </c:pt>
                <c:pt idx="7">
                  <c:v>Other</c:v>
                </c:pt>
              </c:strCache>
            </c:strRef>
          </c:cat>
          <c:val>
            <c:numRef>
              <c:f>Sheet1!$G$29:$G$37</c:f>
              <c:numCache>
                <c:formatCode>#,##0.0,"K"</c:formatCode>
                <c:ptCount val="8"/>
                <c:pt idx="0">
                  <c:v>73732.91</c:v>
                </c:pt>
                <c:pt idx="1">
                  <c:v>50433.85</c:v>
                </c:pt>
                <c:pt idx="2">
                  <c:v>43402.89</c:v>
                </c:pt>
                <c:pt idx="3">
                  <c:v>37395.919999999998</c:v>
                </c:pt>
                <c:pt idx="4">
                  <c:v>35842.400000000001</c:v>
                </c:pt>
                <c:pt idx="5">
                  <c:v>35616.339999999997</c:v>
                </c:pt>
                <c:pt idx="6">
                  <c:v>34111.49</c:v>
                </c:pt>
                <c:pt idx="7">
                  <c:v>20596.62</c:v>
                </c:pt>
              </c:numCache>
            </c:numRef>
          </c:val>
          <c:extLst>
            <c:ext xmlns:c16="http://schemas.microsoft.com/office/drawing/2014/chart" uri="{C3380CC4-5D6E-409C-BE32-E72D297353CC}">
              <c16:uniqueId val="{00000000-2C9C-4CA9-A1D2-E4D5BC100A20}"/>
            </c:ext>
          </c:extLst>
        </c:ser>
        <c:dLbls>
          <c:dLblPos val="outEnd"/>
          <c:showLegendKey val="0"/>
          <c:showVal val="1"/>
          <c:showCatName val="0"/>
          <c:showSerName val="0"/>
          <c:showPercent val="0"/>
          <c:showBubbleSize val="0"/>
        </c:dLbls>
        <c:gapWidth val="219"/>
        <c:overlap val="-27"/>
        <c:axId val="1959089119"/>
        <c:axId val="1959094399"/>
      </c:barChart>
      <c:catAx>
        <c:axId val="195908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400000" spcFirstLastPara="1" vertOverflow="ellipsis"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59094399"/>
        <c:crosses val="autoZero"/>
        <c:auto val="1"/>
        <c:lblAlgn val="ctr"/>
        <c:lblOffset val="100"/>
        <c:noMultiLvlLbl val="0"/>
      </c:catAx>
      <c:valAx>
        <c:axId val="1959094399"/>
        <c:scaling>
          <c:orientation val="minMax"/>
          <c:min val="10000"/>
        </c:scaling>
        <c:delete val="1"/>
        <c:axPos val="l"/>
        <c:numFmt formatCode="#,##0.0,&quot;K&quot;" sourceLinked="1"/>
        <c:majorTickMark val="none"/>
        <c:minorTickMark val="none"/>
        <c:tickLblPos val="nextTo"/>
        <c:crossAx val="195908911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[Finance_Dashboard_Dataset-2 (1) (1).xlsx]Sheet1!PivotTable1</c:name>
    <c:fmtId val="5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F0"/>
          </a:solidFill>
          <a:ln w="19050">
            <a:solidFill>
              <a:schemeClr val="lt1"/>
            </a:solidFill>
          </a:ln>
          <a:effectLst/>
        </c:spPr>
      </c:pivotFmt>
      <c:pivotFmt>
        <c:idx val="8"/>
        <c:spPr>
          <a:solidFill>
            <a:srgbClr val="00B050"/>
          </a:solidFill>
          <a:ln w="19050">
            <a:solidFill>
              <a:schemeClr val="lt1"/>
            </a:solidFill>
          </a:ln>
          <a:effectLst/>
        </c:spPr>
      </c:pivotFmt>
      <c:pivotFmt>
        <c:idx val="9"/>
        <c:spPr>
          <a:solidFill>
            <a:srgbClr val="FFC000"/>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7.3319779116948897E-2"/>
          <c:y val="0.30873307303546099"/>
          <c:w val="0.86558040495226041"/>
          <c:h val="0.53013541571631217"/>
        </c:manualLayout>
      </c:layout>
      <c:doughnutChart>
        <c:varyColors val="1"/>
        <c:ser>
          <c:idx val="0"/>
          <c:order val="0"/>
          <c:tx>
            <c:strRef>
              <c:f>Sheet1!$F$8</c:f>
              <c:strCache>
                <c:ptCount val="1"/>
                <c:pt idx="0">
                  <c:v>Total</c:v>
                </c:pt>
              </c:strCache>
            </c:strRef>
          </c:tx>
          <c:spPr>
            <a:ln w="19050"/>
          </c:spPr>
          <c:dPt>
            <c:idx val="0"/>
            <c:bubble3D val="0"/>
            <c:spPr>
              <a:solidFill>
                <a:srgbClr val="00B0F0"/>
              </a:solidFill>
              <a:ln w="19050">
                <a:solidFill>
                  <a:schemeClr val="lt1"/>
                </a:solidFill>
              </a:ln>
              <a:effectLst/>
            </c:spPr>
            <c:extLst>
              <c:ext xmlns:c16="http://schemas.microsoft.com/office/drawing/2014/chart" uri="{C3380CC4-5D6E-409C-BE32-E72D297353CC}">
                <c16:uniqueId val="{00000001-A0B2-44D7-AC68-C8221F67854B}"/>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A0B2-44D7-AC68-C8221F67854B}"/>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A0B2-44D7-AC68-C8221F6785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0B2-44D7-AC68-C8221F67854B}"/>
              </c:ext>
            </c:extLst>
          </c:dPt>
          <c:cat>
            <c:strRef>
              <c:f>Sheet1!$E$9:$E$13</c:f>
              <c:strCache>
                <c:ptCount val="4"/>
                <c:pt idx="0">
                  <c:v>Cash</c:v>
                </c:pt>
                <c:pt idx="1">
                  <c:v>Card</c:v>
                </c:pt>
                <c:pt idx="2">
                  <c:v>Bank Transfer</c:v>
                </c:pt>
                <c:pt idx="3">
                  <c:v>Mobile Money</c:v>
                </c:pt>
              </c:strCache>
            </c:strRef>
          </c:cat>
          <c:val>
            <c:numRef>
              <c:f>Sheet1!$F$9:$F$13</c:f>
              <c:numCache>
                <c:formatCode>#,##0</c:formatCode>
                <c:ptCount val="4"/>
                <c:pt idx="0">
                  <c:v>122229.73</c:v>
                </c:pt>
                <c:pt idx="1">
                  <c:v>106306.8</c:v>
                </c:pt>
                <c:pt idx="2">
                  <c:v>59671.61</c:v>
                </c:pt>
                <c:pt idx="3">
                  <c:v>42924.28</c:v>
                </c:pt>
              </c:numCache>
            </c:numRef>
          </c:val>
          <c:extLst>
            <c:ext xmlns:c16="http://schemas.microsoft.com/office/drawing/2014/chart" uri="{C3380CC4-5D6E-409C-BE32-E72D297353CC}">
              <c16:uniqueId val="{00000008-A0B2-44D7-AC68-C8221F67854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[Finance_Dashboard_Dataset-2 (1) (1).xlsx]Sheet1!PivotTable5</c:name>
    <c:fmtId val="23"/>
  </c:pivotSource>
  <c:chart>
    <c:title>
      <c:tx>
        <c:rich>
          <a:bodyPr rot="0" spcFirstLastPara="1" vertOverflow="ellipsis" vert="horz" wrap="square" anchor="ctr" anchorCtr="1"/>
          <a:lstStyle/>
          <a:p>
            <a:pPr>
              <a:defRPr lang="en-US" sz="1100" b="0" i="0" u="none" strike="noStrike" kern="1200" spc="0" baseline="0">
                <a:solidFill>
                  <a:srgbClr val="000000">
                    <a:lumMod val="65000"/>
                    <a:lumOff val="35000"/>
                  </a:srgbClr>
                </a:solidFill>
                <a:latin typeface="Arial" panose="020B0604020202020204" pitchFamily="34" charset="0"/>
                <a:ea typeface="+mn-ea"/>
                <a:cs typeface="Arial" panose="020B0604020202020204" pitchFamily="34" charset="0"/>
              </a:defRPr>
            </a:pPr>
            <a:r>
              <a:rPr lang="en-US" sz="1100" b="0" i="0" u="none" strike="noStrike" kern="1200" spc="0" baseline="0">
                <a:solidFill>
                  <a:srgbClr val="000000">
                    <a:lumMod val="65000"/>
                    <a:lumOff val="35000"/>
                  </a:srgbClr>
                </a:solidFill>
                <a:latin typeface="Arial" panose="020B0604020202020204" pitchFamily="34" charset="0"/>
                <a:ea typeface="+mn-ea"/>
                <a:cs typeface="Arial" panose="020B0604020202020204" pitchFamily="34" charset="0"/>
              </a:rPr>
              <a:t>DAILY EXPENSES TREND</a:t>
            </a:r>
          </a:p>
        </c:rich>
      </c:tx>
      <c:layout>
        <c:manualLayout>
          <c:xMode val="edge"/>
          <c:yMode val="edge"/>
          <c:x val="3.3123210484009194E-2"/>
          <c:y val="3.3546321659037301E-2"/>
        </c:manualLayout>
      </c:layout>
      <c:overlay val="0"/>
      <c:spPr>
        <a:noFill/>
        <a:ln>
          <a:noFill/>
        </a:ln>
        <a:effectLst/>
      </c:spPr>
      <c:txPr>
        <a:bodyPr rot="0" spcFirstLastPara="1" vertOverflow="ellipsis" vert="horz" wrap="square" anchor="ctr" anchorCtr="1"/>
        <a:lstStyle/>
        <a:p>
          <a:pPr>
            <a:defRPr lang="en-US" sz="1100" b="0" i="0" u="none" strike="noStrike" kern="1200" spc="0" baseline="0">
              <a:solidFill>
                <a:srgbClr val="000000">
                  <a:lumMod val="65000"/>
                  <a:lumOff val="35000"/>
                </a:srgb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27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4254250827342E-2"/>
          <c:y val="0.18254790036126131"/>
          <c:w val="0.93407440374301043"/>
          <c:h val="0.58842053175762477"/>
        </c:manualLayout>
      </c:layout>
      <c:lineChart>
        <c:grouping val="standard"/>
        <c:varyColors val="0"/>
        <c:ser>
          <c:idx val="0"/>
          <c:order val="0"/>
          <c:tx>
            <c:strRef>
              <c:f>Sheet1!$B$19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Sheet1!$A$20:$A$37</c:f>
              <c:strCache>
                <c:ptCount val="17"/>
                <c:pt idx="0">
                  <c:v>01-April</c:v>
                </c:pt>
                <c:pt idx="1">
                  <c:v>02-April</c:v>
                </c:pt>
                <c:pt idx="2">
                  <c:v>03-April</c:v>
                </c:pt>
                <c:pt idx="3">
                  <c:v>04-April</c:v>
                </c:pt>
                <c:pt idx="4">
                  <c:v>05-April</c:v>
                </c:pt>
                <c:pt idx="5">
                  <c:v>06-April</c:v>
                </c:pt>
                <c:pt idx="6">
                  <c:v>07-April</c:v>
                </c:pt>
                <c:pt idx="7">
                  <c:v>08-April</c:v>
                </c:pt>
                <c:pt idx="8">
                  <c:v>09-April</c:v>
                </c:pt>
                <c:pt idx="9">
                  <c:v>10-April</c:v>
                </c:pt>
                <c:pt idx="10">
                  <c:v>11-April</c:v>
                </c:pt>
                <c:pt idx="11">
                  <c:v>12-April</c:v>
                </c:pt>
                <c:pt idx="12">
                  <c:v>13-April</c:v>
                </c:pt>
                <c:pt idx="13">
                  <c:v>14-April</c:v>
                </c:pt>
                <c:pt idx="14">
                  <c:v>15-April</c:v>
                </c:pt>
                <c:pt idx="15">
                  <c:v>16-April</c:v>
                </c:pt>
                <c:pt idx="16">
                  <c:v>17-April</c:v>
                </c:pt>
              </c:strCache>
            </c:strRef>
          </c:cat>
          <c:val>
            <c:numRef>
              <c:f>Sheet1!$B$20:$B$37</c:f>
              <c:numCache>
                <c:formatCode>#,##0,"K"</c:formatCode>
                <c:ptCount val="17"/>
                <c:pt idx="0">
                  <c:v>27198.58</c:v>
                </c:pt>
                <c:pt idx="1">
                  <c:v>12708.24</c:v>
                </c:pt>
                <c:pt idx="2">
                  <c:v>24887.35</c:v>
                </c:pt>
                <c:pt idx="3">
                  <c:v>5692.27</c:v>
                </c:pt>
                <c:pt idx="4">
                  <c:v>13388.76</c:v>
                </c:pt>
                <c:pt idx="5">
                  <c:v>2648.81</c:v>
                </c:pt>
                <c:pt idx="6">
                  <c:v>33178.31</c:v>
                </c:pt>
                <c:pt idx="7">
                  <c:v>25418.54</c:v>
                </c:pt>
                <c:pt idx="8">
                  <c:v>38318</c:v>
                </c:pt>
                <c:pt idx="9">
                  <c:v>7148.86</c:v>
                </c:pt>
                <c:pt idx="10">
                  <c:v>24247.75</c:v>
                </c:pt>
                <c:pt idx="11">
                  <c:v>5939.53</c:v>
                </c:pt>
                <c:pt idx="12">
                  <c:v>19468.28</c:v>
                </c:pt>
                <c:pt idx="13">
                  <c:v>32587.88</c:v>
                </c:pt>
                <c:pt idx="14">
                  <c:v>7289.86</c:v>
                </c:pt>
                <c:pt idx="15">
                  <c:v>17368.580000000002</c:v>
                </c:pt>
                <c:pt idx="16">
                  <c:v>33642.82</c:v>
                </c:pt>
              </c:numCache>
            </c:numRef>
          </c:val>
          <c:smooth val="0"/>
          <c:extLst>
            <c:ext xmlns:c16="http://schemas.microsoft.com/office/drawing/2014/chart" uri="{C3380CC4-5D6E-409C-BE32-E72D297353CC}">
              <c16:uniqueId val="{00000000-A258-4B7B-86EB-E24B88D11FE8}"/>
            </c:ext>
          </c:extLst>
        </c:ser>
        <c:dLbls>
          <c:dLblPos val="t"/>
          <c:showLegendKey val="0"/>
          <c:showVal val="1"/>
          <c:showCatName val="0"/>
          <c:showSerName val="0"/>
          <c:showPercent val="0"/>
          <c:showBubbleSize val="0"/>
        </c:dLbls>
        <c:marker val="1"/>
        <c:smooth val="0"/>
        <c:axId val="1958987359"/>
        <c:axId val="1958987839"/>
      </c:lineChart>
      <c:dateAx>
        <c:axId val="1958987359"/>
        <c:scaling>
          <c:orientation val="minMax"/>
        </c:scaling>
        <c:delete val="0"/>
        <c:axPos val="b"/>
        <c:numFmt formatCode="d\ m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58987839"/>
        <c:crosses val="autoZero"/>
        <c:auto val="0"/>
        <c:lblOffset val="100"/>
        <c:baseTimeUnit val="days"/>
      </c:dateAx>
      <c:valAx>
        <c:axId val="1958987839"/>
        <c:scaling>
          <c:orientation val="minMax"/>
        </c:scaling>
        <c:delete val="1"/>
        <c:axPos val="l"/>
        <c:numFmt formatCode="#,##0,&quot;K&quot;" sourceLinked="1"/>
        <c:majorTickMark val="out"/>
        <c:minorTickMark val="none"/>
        <c:tickLblPos val="nextTo"/>
        <c:crossAx val="1958987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8.svg"/><Relationship Id="rId18" Type="http://schemas.openxmlformats.org/officeDocument/2006/relationships/hyperlink" Target="#Categories!A1"/><Relationship Id="rId26" Type="http://schemas.openxmlformats.org/officeDocument/2006/relationships/image" Target="../media/image18.svg"/><Relationship Id="rId3" Type="http://schemas.openxmlformats.org/officeDocument/2006/relationships/chart" Target="../charts/chart2.xml"/><Relationship Id="rId21" Type="http://schemas.openxmlformats.org/officeDocument/2006/relationships/image" Target="../media/image13.png"/><Relationship Id="rId34" Type="http://schemas.openxmlformats.org/officeDocument/2006/relationships/image" Target="../media/image26.png"/><Relationship Id="rId7" Type="http://schemas.openxmlformats.org/officeDocument/2006/relationships/image" Target="../media/image4.svg"/><Relationship Id="rId12" Type="http://schemas.openxmlformats.org/officeDocument/2006/relationships/image" Target="../media/image7.png"/><Relationship Id="rId17" Type="http://schemas.openxmlformats.org/officeDocument/2006/relationships/image" Target="../media/image10.svg"/><Relationship Id="rId25" Type="http://schemas.openxmlformats.org/officeDocument/2006/relationships/image" Target="../media/image17.png"/><Relationship Id="rId33" Type="http://schemas.openxmlformats.org/officeDocument/2006/relationships/image" Target="../media/image25.emf"/><Relationship Id="rId2" Type="http://schemas.openxmlformats.org/officeDocument/2006/relationships/image" Target="../media/image1.emf"/><Relationship Id="rId16" Type="http://schemas.openxmlformats.org/officeDocument/2006/relationships/image" Target="../media/image9.png"/><Relationship Id="rId20" Type="http://schemas.openxmlformats.org/officeDocument/2006/relationships/image" Target="../media/image12.svg"/><Relationship Id="rId29" Type="http://schemas.openxmlformats.org/officeDocument/2006/relationships/image" Target="../media/image21.png"/><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hyperlink" Target="#Dashboard!A1"/><Relationship Id="rId24" Type="http://schemas.openxmlformats.org/officeDocument/2006/relationships/image" Target="../media/image16.svg"/><Relationship Id="rId32" Type="http://schemas.openxmlformats.org/officeDocument/2006/relationships/image" Target="../media/image24.svg"/><Relationship Id="rId5" Type="http://schemas.openxmlformats.org/officeDocument/2006/relationships/chart" Target="../charts/chart3.xml"/><Relationship Id="rId15" Type="http://schemas.openxmlformats.org/officeDocument/2006/relationships/hyperlink" Target="#Insights!A1"/><Relationship Id="rId23" Type="http://schemas.openxmlformats.org/officeDocument/2006/relationships/image" Target="../media/image15.png"/><Relationship Id="rId28" Type="http://schemas.openxmlformats.org/officeDocument/2006/relationships/image" Target="../media/image20.svg"/><Relationship Id="rId36" Type="http://schemas.openxmlformats.org/officeDocument/2006/relationships/chart" Target="../charts/chart4.xml"/><Relationship Id="rId10" Type="http://schemas.openxmlformats.org/officeDocument/2006/relationships/image" Target="../media/image6.svg"/><Relationship Id="rId19" Type="http://schemas.openxmlformats.org/officeDocument/2006/relationships/image" Target="../media/image11.png"/><Relationship Id="rId31" Type="http://schemas.openxmlformats.org/officeDocument/2006/relationships/image" Target="../media/image23.png"/><Relationship Id="rId4" Type="http://schemas.openxmlformats.org/officeDocument/2006/relationships/image" Target="../media/image2.emf"/><Relationship Id="rId9" Type="http://schemas.openxmlformats.org/officeDocument/2006/relationships/image" Target="../media/image5.png"/><Relationship Id="rId14" Type="http://schemas.openxmlformats.org/officeDocument/2006/relationships/hyperlink" Target="#Transactions!A1"/><Relationship Id="rId22" Type="http://schemas.openxmlformats.org/officeDocument/2006/relationships/image" Target="../media/image14.svg"/><Relationship Id="rId27" Type="http://schemas.openxmlformats.org/officeDocument/2006/relationships/image" Target="../media/image19.png"/><Relationship Id="rId30" Type="http://schemas.openxmlformats.org/officeDocument/2006/relationships/image" Target="../media/image22.svg"/><Relationship Id="rId35" Type="http://schemas.openxmlformats.org/officeDocument/2006/relationships/image" Target="../media/image27.svg"/><Relationship Id="rId8" Type="http://schemas.openxmlformats.org/officeDocument/2006/relationships/hyperlink" Target="#'Payment Metho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3" Type="http://schemas.openxmlformats.org/officeDocument/2006/relationships/image" Target="../media/image30.emf"/><Relationship Id="rId2" Type="http://schemas.openxmlformats.org/officeDocument/2006/relationships/image" Target="../media/image29.emf"/><Relationship Id="rId1" Type="http://schemas.openxmlformats.org/officeDocument/2006/relationships/image" Target="../media/image28.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17318</xdr:rowOff>
    </xdr:from>
    <xdr:to>
      <xdr:col>16</xdr:col>
      <xdr:colOff>597478</xdr:colOff>
      <xdr:row>4</xdr:row>
      <xdr:rowOff>103909</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0" y="17318"/>
          <a:ext cx="10351078" cy="848591"/>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oneCellAnchor>
    <xdr:from>
      <xdr:col>0</xdr:col>
      <xdr:colOff>0</xdr:colOff>
      <xdr:row>0</xdr:row>
      <xdr:rowOff>34635</xdr:rowOff>
    </xdr:from>
    <xdr:ext cx="1707444" cy="7544543"/>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34635"/>
          <a:ext cx="1707444" cy="7544543"/>
        </a:xfrm>
        <a:prstGeom prst="rect">
          <a:avLst/>
        </a:prstGeom>
        <a:solidFill>
          <a:schemeClr val="tx2">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endParaRPr lang="en-US" sz="1100"/>
        </a:p>
      </xdr:txBody>
    </xdr:sp>
    <xdr:clientData/>
  </xdr:oneCellAnchor>
  <xdr:oneCellAnchor>
    <xdr:from>
      <xdr:col>2</xdr:col>
      <xdr:colOff>552450</xdr:colOff>
      <xdr:row>4</xdr:row>
      <xdr:rowOff>170583</xdr:rowOff>
    </xdr:from>
    <xdr:ext cx="1554480" cy="886968"/>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771650" y="932583"/>
          <a:ext cx="1554480" cy="886968"/>
        </a:xfrm>
        <a:prstGeom prst="rect">
          <a:avLst/>
        </a:prstGeom>
        <a:solidFill>
          <a:srgbClr val="CDF2FF"/>
        </a:solidFill>
        <a:ln>
          <a:noFill/>
        </a:ln>
        <a:effectLst>
          <a:outerShdw blurRad="57785" dist="33020" dir="3180000" algn="ctr">
            <a:srgbClr val="000000">
              <a:alpha val="30000"/>
            </a:srgb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r>
            <a:rPr lang="en-US" sz="1000" b="1">
              <a:latin typeface="Arial" pitchFamily="34" charset="0"/>
              <a:cs typeface="Arial" pitchFamily="34" charset="0"/>
            </a:rPr>
            <a:t>Total Expenses</a:t>
          </a:r>
        </a:p>
      </xdr:txBody>
    </xdr:sp>
    <xdr:clientData/>
  </xdr:oneCellAnchor>
  <xdr:twoCellAnchor>
    <xdr:from>
      <xdr:col>5</xdr:col>
      <xdr:colOff>452438</xdr:colOff>
      <xdr:row>4</xdr:row>
      <xdr:rowOff>170583</xdr:rowOff>
    </xdr:from>
    <xdr:to>
      <xdr:col>8</xdr:col>
      <xdr:colOff>178118</xdr:colOff>
      <xdr:row>9</xdr:row>
      <xdr:rowOff>144739</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3508376" y="924646"/>
          <a:ext cx="1559242" cy="886968"/>
        </a:xfrm>
        <a:prstGeom prst="rect">
          <a:avLst/>
        </a:prstGeom>
        <a:solidFill>
          <a:srgbClr val="D1FFE6"/>
        </a:solidFill>
        <a:ln w="9525" cmpd="sng">
          <a:noFill/>
        </a:ln>
        <a:effectLst>
          <a:outerShdw blurRad="57785" dist="33020" dir="3180000" algn="ctr">
            <a:srgbClr val="000000">
              <a:alpha val="3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000" b="1">
              <a:latin typeface="Arial" pitchFamily="34" charset="0"/>
              <a:cs typeface="Arial" pitchFamily="34" charset="0"/>
            </a:rPr>
            <a:t>    Total </a:t>
          </a:r>
          <a:r>
            <a:rPr lang="en-US" sz="1000" b="1">
              <a:solidFill>
                <a:schemeClr val="tx1"/>
              </a:solidFill>
              <a:latin typeface="Arial" pitchFamily="34" charset="0"/>
              <a:ea typeface="+mn-ea"/>
              <a:cs typeface="Arial" pitchFamily="34" charset="0"/>
            </a:rPr>
            <a:t>Transaction</a:t>
          </a:r>
        </a:p>
      </xdr:txBody>
    </xdr:sp>
    <xdr:clientData/>
  </xdr:twoCellAnchor>
  <xdr:twoCellAnchor>
    <xdr:from>
      <xdr:col>8</xdr:col>
      <xdr:colOff>352426</xdr:colOff>
      <xdr:row>5</xdr:row>
      <xdr:rowOff>1515</xdr:rowOff>
    </xdr:from>
    <xdr:to>
      <xdr:col>11</xdr:col>
      <xdr:colOff>78106</xdr:colOff>
      <xdr:row>9</xdr:row>
      <xdr:rowOff>153915</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5229226" y="947665"/>
          <a:ext cx="1554480" cy="889000"/>
        </a:xfrm>
        <a:prstGeom prst="rect">
          <a:avLst/>
        </a:prstGeom>
        <a:solidFill>
          <a:schemeClr val="bg1"/>
        </a:solidFill>
        <a:ln w="9525" cmpd="sng">
          <a:noFill/>
        </a:ln>
        <a:effectLst>
          <a:outerShdw blurRad="57785" dist="33020" dir="3180000" algn="ctr">
            <a:srgbClr val="000000">
              <a:alpha val="3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000" b="1">
              <a:latin typeface="Arial" pitchFamily="34" charset="0"/>
              <a:cs typeface="Arial" pitchFamily="34" charset="0"/>
            </a:rPr>
            <a:t> Average Expenses</a:t>
          </a:r>
        </a:p>
      </xdr:txBody>
    </xdr:sp>
    <xdr:clientData/>
  </xdr:twoCellAnchor>
  <xdr:twoCellAnchor>
    <xdr:from>
      <xdr:col>11</xdr:col>
      <xdr:colOff>252414</xdr:colOff>
      <xdr:row>4</xdr:row>
      <xdr:rowOff>177727</xdr:rowOff>
    </xdr:from>
    <xdr:to>
      <xdr:col>13</xdr:col>
      <xdr:colOff>587694</xdr:colOff>
      <xdr:row>9</xdr:row>
      <xdr:rowOff>151883</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6975477" y="931790"/>
          <a:ext cx="1557655" cy="886968"/>
        </a:xfrm>
        <a:prstGeom prst="rect">
          <a:avLst/>
        </a:prstGeom>
        <a:solidFill>
          <a:schemeClr val="accent4">
            <a:lumMod val="20000"/>
            <a:lumOff val="80000"/>
          </a:schemeClr>
        </a:solidFill>
        <a:ln w="9525" cmpd="sng">
          <a:noFill/>
        </a:ln>
        <a:effectLst>
          <a:outerShdw blurRad="57785" dist="33020" dir="3180000" algn="ctr">
            <a:srgbClr val="000000">
              <a:alpha val="3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000" b="1">
              <a:latin typeface="Arial" pitchFamily="34" charset="0"/>
              <a:cs typeface="Arial" pitchFamily="34" charset="0"/>
            </a:rPr>
            <a:t>Highest Expenses</a:t>
          </a:r>
        </a:p>
      </xdr:txBody>
    </xdr:sp>
    <xdr:clientData/>
  </xdr:twoCellAnchor>
  <xdr:twoCellAnchor>
    <xdr:from>
      <xdr:col>14</xdr:col>
      <xdr:colOff>152400</xdr:colOff>
      <xdr:row>5</xdr:row>
      <xdr:rowOff>8658</xdr:rowOff>
    </xdr:from>
    <xdr:to>
      <xdr:col>16</xdr:col>
      <xdr:colOff>487680</xdr:colOff>
      <xdr:row>9</xdr:row>
      <xdr:rowOff>161058</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8686800" y="980208"/>
          <a:ext cx="1554480" cy="914400"/>
        </a:xfrm>
        <a:prstGeom prst="rect">
          <a:avLst/>
        </a:prstGeom>
        <a:solidFill>
          <a:schemeClr val="accent5">
            <a:lumMod val="20000"/>
            <a:lumOff val="80000"/>
          </a:schemeClr>
        </a:solidFill>
        <a:ln w="9525" cmpd="sng">
          <a:noFill/>
        </a:ln>
        <a:effectLst>
          <a:outerShdw blurRad="57785" dist="33020" dir="3180000" algn="ctr">
            <a:srgbClr val="000000">
              <a:alpha val="30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000" b="1">
              <a:latin typeface="Arial" pitchFamily="34" charset="0"/>
              <a:cs typeface="Arial" pitchFamily="34" charset="0"/>
            </a:rPr>
            <a:t>Daily Average</a:t>
          </a:r>
        </a:p>
      </xdr:txBody>
    </xdr:sp>
    <xdr:clientData/>
  </xdr:twoCellAnchor>
  <xdr:oneCellAnchor>
    <xdr:from>
      <xdr:col>2</xdr:col>
      <xdr:colOff>571500</xdr:colOff>
      <xdr:row>11</xdr:row>
      <xdr:rowOff>95248</xdr:rowOff>
    </xdr:from>
    <xdr:ext cx="3896591" cy="2551176"/>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790700" y="2295523"/>
          <a:ext cx="3896591" cy="2551176"/>
        </a:xfrm>
        <a:prstGeom prst="rect">
          <a:avLst/>
        </a:prstGeom>
        <a:solidFill>
          <a:schemeClr val="bg1"/>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xdr:from>
      <xdr:col>9</xdr:col>
      <xdr:colOff>299358</xdr:colOff>
      <xdr:row>11</xdr:row>
      <xdr:rowOff>95249</xdr:rowOff>
    </xdr:from>
    <xdr:to>
      <xdr:col>16</xdr:col>
      <xdr:colOff>529167</xdr:colOff>
      <xdr:row>24</xdr:row>
      <xdr:rowOff>170179</xdr:rowOff>
    </xdr:to>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5785758" y="2295524"/>
          <a:ext cx="4497009" cy="2551430"/>
        </a:xfrm>
        <a:prstGeom prst="rect">
          <a:avLst/>
        </a:prstGeom>
        <a:solidFill>
          <a:schemeClr val="bg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tx1"/>
            </a:solidFill>
            <a:latin typeface="+mn-lt"/>
            <a:ea typeface="+mn-ea"/>
            <a:cs typeface="+mn-cs"/>
          </a:endParaRPr>
        </a:p>
      </xdr:txBody>
    </xdr:sp>
    <xdr:clientData/>
  </xdr:twoCellAnchor>
  <xdr:twoCellAnchor>
    <xdr:from>
      <xdr:col>2</xdr:col>
      <xdr:colOff>587375</xdr:colOff>
      <xdr:row>25</xdr:row>
      <xdr:rowOff>150812</xdr:rowOff>
    </xdr:from>
    <xdr:to>
      <xdr:col>7</xdr:col>
      <xdr:colOff>63500</xdr:colOff>
      <xdr:row>38</xdr:row>
      <xdr:rowOff>109219</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809750" y="4738687"/>
          <a:ext cx="2532063" cy="2331720"/>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7</xdr:col>
      <xdr:colOff>165100</xdr:colOff>
      <xdr:row>25</xdr:row>
      <xdr:rowOff>150812</xdr:rowOff>
    </xdr:from>
    <xdr:to>
      <xdr:col>10</xdr:col>
      <xdr:colOff>527050</xdr:colOff>
      <xdr:row>38</xdr:row>
      <xdr:rowOff>109219</xdr:rowOff>
    </xdr:to>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4443413" y="4738687"/>
          <a:ext cx="2195512" cy="2331720"/>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11</xdr:col>
      <xdr:colOff>6350</xdr:colOff>
      <xdr:row>25</xdr:row>
      <xdr:rowOff>150812</xdr:rowOff>
    </xdr:from>
    <xdr:to>
      <xdr:col>16</xdr:col>
      <xdr:colOff>523876</xdr:colOff>
      <xdr:row>38</xdr:row>
      <xdr:rowOff>111124</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6729413" y="4738687"/>
          <a:ext cx="3573463" cy="2333625"/>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114300</xdr:colOff>
      <xdr:row>0</xdr:row>
      <xdr:rowOff>85725</xdr:rowOff>
    </xdr:from>
    <xdr:to>
      <xdr:col>7</xdr:col>
      <xdr:colOff>457200</xdr:colOff>
      <xdr:row>2</xdr:row>
      <xdr:rowOff>95250</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333500" y="85725"/>
          <a:ext cx="33909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a:solidFill>
                <a:schemeClr val="bg1"/>
              </a:solidFill>
              <a:latin typeface="Arial" pitchFamily="34" charset="0"/>
              <a:cs typeface="Arial" pitchFamily="34" charset="0"/>
            </a:rPr>
            <a:t>Expenses Dashboard</a:t>
          </a:r>
        </a:p>
      </xdr:txBody>
    </xdr:sp>
    <xdr:clientData/>
  </xdr:twoCellAnchor>
  <xdr:oneCellAnchor>
    <xdr:from>
      <xdr:col>2</xdr:col>
      <xdr:colOff>190500</xdr:colOff>
      <xdr:row>2</xdr:row>
      <xdr:rowOff>133350</xdr:rowOff>
    </xdr:from>
    <xdr:ext cx="1838325" cy="224998"/>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1409700" y="533400"/>
          <a:ext cx="1838325" cy="2249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b="1">
              <a:solidFill>
                <a:schemeClr val="bg1"/>
              </a:solidFill>
              <a:latin typeface="Arial" pitchFamily="34" charset="0"/>
              <a:cs typeface="Arial" pitchFamily="34" charset="0"/>
            </a:rPr>
            <a:t>April</a:t>
          </a:r>
          <a:r>
            <a:rPr lang="en-US" sz="900" b="1" baseline="0">
              <a:solidFill>
                <a:schemeClr val="bg1"/>
              </a:solidFill>
              <a:latin typeface="Arial" pitchFamily="34" charset="0"/>
              <a:cs typeface="Arial" pitchFamily="34" charset="0"/>
            </a:rPr>
            <a:t> 1 -April 17, 2025</a:t>
          </a:r>
          <a:endParaRPr lang="en-US" sz="900" b="1">
            <a:solidFill>
              <a:schemeClr val="bg1"/>
            </a:solidFill>
            <a:latin typeface="Arial" pitchFamily="34" charset="0"/>
            <a:cs typeface="Arial" pitchFamily="34" charset="0"/>
          </a:endParaRPr>
        </a:p>
      </xdr:txBody>
    </xdr:sp>
    <xdr:clientData/>
  </xdr:oneCellAnchor>
  <xdr:twoCellAnchor>
    <xdr:from>
      <xdr:col>0</xdr:col>
      <xdr:colOff>171450</xdr:colOff>
      <xdr:row>31</xdr:row>
      <xdr:rowOff>123826</xdr:rowOff>
    </xdr:from>
    <xdr:to>
      <xdr:col>2</xdr:col>
      <xdr:colOff>295275</xdr:colOff>
      <xdr:row>33</xdr:row>
      <xdr:rowOff>0</xdr:rowOff>
    </xdr:to>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71450" y="6048376"/>
          <a:ext cx="1343025"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solidFill>
              <a:latin typeface="Arial" pitchFamily="34" charset="0"/>
              <a:cs typeface="Arial" pitchFamily="34" charset="0"/>
            </a:rPr>
            <a:t>Track. Analyze. Save</a:t>
          </a:r>
        </a:p>
      </xdr:txBody>
    </xdr:sp>
    <xdr:clientData/>
  </xdr:twoCellAnchor>
  <xdr:twoCellAnchor>
    <xdr:from>
      <xdr:col>0</xdr:col>
      <xdr:colOff>28575</xdr:colOff>
      <xdr:row>32</xdr:row>
      <xdr:rowOff>171450</xdr:rowOff>
    </xdr:from>
    <xdr:to>
      <xdr:col>2</xdr:col>
      <xdr:colOff>295275</xdr:colOff>
      <xdr:row>35</xdr:row>
      <xdr:rowOff>141111</xdr:rowOff>
    </xdr:to>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28575" y="6069894"/>
          <a:ext cx="1480256" cy="519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latin typeface="Arial" pitchFamily="34" charset="0"/>
              <a:cs typeface="Arial" pitchFamily="34" charset="0"/>
            </a:rPr>
            <a:t>Smart spending </a:t>
          </a:r>
          <a:r>
            <a:rPr lang="en-US" sz="1050" b="1">
              <a:solidFill>
                <a:schemeClr val="bg1"/>
              </a:solidFill>
              <a:latin typeface="Arial" pitchFamily="34" charset="0"/>
              <a:cs typeface="Arial" pitchFamily="34" charset="0"/>
            </a:rPr>
            <a:t>for</a:t>
          </a:r>
          <a:r>
            <a:rPr lang="en-US" sz="1100" b="1">
              <a:solidFill>
                <a:schemeClr val="bg1"/>
              </a:solidFill>
              <a:latin typeface="Arial" pitchFamily="34" charset="0"/>
              <a:cs typeface="Arial" pitchFamily="34" charset="0"/>
            </a:rPr>
            <a:t> a better tomorrow</a:t>
          </a:r>
        </a:p>
      </xdr:txBody>
    </xdr:sp>
    <xdr:clientData/>
  </xdr:twoCellAnchor>
  <xdr:twoCellAnchor>
    <xdr:from>
      <xdr:col>2</xdr:col>
      <xdr:colOff>458610</xdr:colOff>
      <xdr:row>11</xdr:row>
      <xdr:rowOff>107950</xdr:rowOff>
    </xdr:from>
    <xdr:to>
      <xdr:col>6</xdr:col>
      <xdr:colOff>402166</xdr:colOff>
      <xdr:row>24</xdr:row>
      <xdr:rowOff>177800</xdr:rowOff>
    </xdr:to>
    <xdr:graphicFrame macro="">
      <xdr:nvGraphicFramePr>
        <xdr:cNvPr id="13" name="Chart 12">
          <a:extLst>
            <a:ext uri="{FF2B5EF4-FFF2-40B4-BE49-F238E27FC236}">
              <a16:creationId xmlns:a16="http://schemas.microsoft.com/office/drawing/2014/main" id="{F7BA41DF-550A-4102-868F-9E4278A84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88263</xdr:colOff>
      <xdr:row>13</xdr:row>
      <xdr:rowOff>114301</xdr:rowOff>
    </xdr:from>
    <xdr:to>
      <xdr:col>9</xdr:col>
      <xdr:colOff>204470</xdr:colOff>
      <xdr:row>22</xdr:row>
      <xdr:rowOff>111946</xdr:rowOff>
    </xdr:to>
    <xdr:grpSp>
      <xdr:nvGrpSpPr>
        <xdr:cNvPr id="24" name="Group 23">
          <a:extLst>
            <a:ext uri="{FF2B5EF4-FFF2-40B4-BE49-F238E27FC236}">
              <a16:creationId xmlns:a16="http://schemas.microsoft.com/office/drawing/2014/main" id="{E5039E21-8F7E-4F9E-9086-16A0D8E34A6A}"/>
            </a:ext>
          </a:extLst>
        </xdr:cNvPr>
        <xdr:cNvGrpSpPr/>
      </xdr:nvGrpSpPr>
      <xdr:grpSpPr>
        <a:xfrm>
          <a:off x="3762192" y="2699658"/>
          <a:ext cx="1953171" cy="1712145"/>
          <a:chOff x="3745863" y="2695576"/>
          <a:chExt cx="1945007" cy="1712145"/>
        </a:xfrm>
      </xdr:grpSpPr>
      <mc:AlternateContent xmlns:mc="http://schemas.openxmlformats.org/markup-compatibility/2006">
        <mc:Choice xmlns:a14="http://schemas.microsoft.com/office/drawing/2010/main" Requires="a14">
          <xdr:pic>
            <xdr:nvPicPr>
              <xdr:cNvPr id="40" name="Picture 39">
                <a:extLst>
                  <a:ext uri="{FF2B5EF4-FFF2-40B4-BE49-F238E27FC236}">
                    <a16:creationId xmlns:a16="http://schemas.microsoft.com/office/drawing/2014/main" id="{DEDEE9BC-D61F-FCE1-0FFC-82E6F819B9B6}"/>
                  </a:ext>
                </a:extLst>
              </xdr:cNvPr>
              <xdr:cNvPicPr>
                <a:picLocks noChangeAspect="1" noChangeArrowheads="1"/>
                <a:extLst>
                  <a:ext uri="{84589F7E-364E-4C9E-8A38-B11213B215E9}">
                    <a14:cameraTool cellRange="Sheet1!$N$6:$P$15" spid="_x0000_s1367"/>
                  </a:ext>
                </a:extLst>
              </xdr:cNvPicPr>
            </xdr:nvPicPr>
            <xdr:blipFill>
              <a:blip xmlns:r="http://schemas.openxmlformats.org/officeDocument/2006/relationships" r:embed="rId2"/>
              <a:srcRect/>
              <a:stretch>
                <a:fillRect/>
              </a:stretch>
            </xdr:blipFill>
            <xdr:spPr bwMode="auto">
              <a:xfrm>
                <a:off x="3745863" y="2714625"/>
                <a:ext cx="1945007" cy="1693096"/>
              </a:xfrm>
              <a:prstGeom prst="rect">
                <a:avLst/>
              </a:prstGeom>
              <a:noFill/>
              <a:ln>
                <a:noFill/>
              </a:ln>
              <a:extLst>
                <a:ext uri="{909E8E84-426E-40DD-AFC4-6F175D3DCCD1}">
                  <a14:hiddenFill>
                    <a:solidFill>
                      <a:srgbClr val="FFFFFF"/>
                    </a:solidFill>
                  </a14:hiddenFill>
                </a:ext>
              </a:extLst>
            </xdr:spPr>
          </xdr:pic>
        </mc:Choice>
        <mc:Fallback/>
      </mc:AlternateContent>
      <xdr:sp macro="" textlink="">
        <xdr:nvSpPr>
          <xdr:cNvPr id="41" name="TextBox 40">
            <a:extLst>
              <a:ext uri="{FF2B5EF4-FFF2-40B4-BE49-F238E27FC236}">
                <a16:creationId xmlns:a16="http://schemas.microsoft.com/office/drawing/2014/main" id="{952D755F-7662-457D-3A0B-C3858D872875}"/>
              </a:ext>
            </a:extLst>
          </xdr:cNvPr>
          <xdr:cNvSpPr txBox="1"/>
        </xdr:nvSpPr>
        <xdr:spPr>
          <a:xfrm>
            <a:off x="4352926" y="2695576"/>
            <a:ext cx="200024" cy="18097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grpSp>
    <xdr:clientData/>
  </xdr:twoCellAnchor>
  <xdr:twoCellAnchor>
    <xdr:from>
      <xdr:col>11</xdr:col>
      <xdr:colOff>95250</xdr:colOff>
      <xdr:row>26</xdr:row>
      <xdr:rowOff>79375</xdr:rowOff>
    </xdr:from>
    <xdr:to>
      <xdr:col>16</xdr:col>
      <xdr:colOff>419100</xdr:colOff>
      <xdr:row>37</xdr:row>
      <xdr:rowOff>158750</xdr:rowOff>
    </xdr:to>
    <xdr:graphicFrame macro="">
      <xdr:nvGraphicFramePr>
        <xdr:cNvPr id="42" name="Chart 41">
          <a:extLst>
            <a:ext uri="{FF2B5EF4-FFF2-40B4-BE49-F238E27FC236}">
              <a16:creationId xmlns:a16="http://schemas.microsoft.com/office/drawing/2014/main" id="{BA71BD65-88FA-4977-BBCD-8F554253D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193675</xdr:colOff>
      <xdr:row>26</xdr:row>
      <xdr:rowOff>127000</xdr:rowOff>
    </xdr:from>
    <xdr:to>
      <xdr:col>9</xdr:col>
      <xdr:colOff>425451</xdr:colOff>
      <xdr:row>28</xdr:row>
      <xdr:rowOff>12700</xdr:rowOff>
    </xdr:to>
    <xdr:sp macro="" textlink="">
      <xdr:nvSpPr>
        <xdr:cNvPr id="26" name="TextBox 25">
          <a:extLst>
            <a:ext uri="{FF2B5EF4-FFF2-40B4-BE49-F238E27FC236}">
              <a16:creationId xmlns:a16="http://schemas.microsoft.com/office/drawing/2014/main" id="{F656344C-1143-5754-8609-042E6F6E8251}"/>
            </a:ext>
          </a:extLst>
        </xdr:cNvPr>
        <xdr:cNvSpPr txBox="1"/>
      </xdr:nvSpPr>
      <xdr:spPr>
        <a:xfrm>
          <a:off x="4460875" y="4940300"/>
          <a:ext cx="1450976"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kern="1200" spc="0" baseline="0">
              <a:solidFill>
                <a:srgbClr val="000000">
                  <a:lumMod val="65000"/>
                  <a:lumOff val="35000"/>
                </a:srgbClr>
              </a:solidFill>
              <a:latin typeface="Arial" panose="020B0604020202020204" pitchFamily="34" charset="0"/>
              <a:ea typeface="+mn-ea"/>
              <a:cs typeface="Arial" panose="020B0604020202020204" pitchFamily="34" charset="0"/>
            </a:rPr>
            <a:t>TOP 5 EXPENSES</a:t>
          </a:r>
        </a:p>
      </xdr:txBody>
    </xdr:sp>
    <xdr:clientData/>
  </xdr:twoCellAnchor>
  <xdr:twoCellAnchor>
    <xdr:from>
      <xdr:col>7</xdr:col>
      <xdr:colOff>314325</xdr:colOff>
      <xdr:row>28</xdr:row>
      <xdr:rowOff>76201</xdr:rowOff>
    </xdr:from>
    <xdr:to>
      <xdr:col>10</xdr:col>
      <xdr:colOff>390525</xdr:colOff>
      <xdr:row>36</xdr:row>
      <xdr:rowOff>9525</xdr:rowOff>
    </xdr:to>
    <xdr:grpSp>
      <xdr:nvGrpSpPr>
        <xdr:cNvPr id="31" name="Group 30">
          <a:extLst>
            <a:ext uri="{FF2B5EF4-FFF2-40B4-BE49-F238E27FC236}">
              <a16:creationId xmlns:a16="http://schemas.microsoft.com/office/drawing/2014/main" id="{ACC92286-44C3-4A6F-8457-A2E6B78766BF}"/>
            </a:ext>
          </a:extLst>
        </xdr:cNvPr>
        <xdr:cNvGrpSpPr/>
      </xdr:nvGrpSpPr>
      <xdr:grpSpPr>
        <a:xfrm>
          <a:off x="4600575" y="5423808"/>
          <a:ext cx="1913164" cy="1457324"/>
          <a:chOff x="4614863" y="5421313"/>
          <a:chExt cx="1862137" cy="1603873"/>
        </a:xfrm>
      </xdr:grpSpPr>
      <mc:AlternateContent xmlns:mc="http://schemas.openxmlformats.org/markup-compatibility/2006">
        <mc:Choice xmlns:a14="http://schemas.microsoft.com/office/drawing/2010/main" Requires="a14">
          <xdr:pic>
            <xdr:nvPicPr>
              <xdr:cNvPr id="25" name="Picture 24">
                <a:extLst>
                  <a:ext uri="{FF2B5EF4-FFF2-40B4-BE49-F238E27FC236}">
                    <a16:creationId xmlns:a16="http://schemas.microsoft.com/office/drawing/2014/main" id="{AFA73851-E098-D175-EE2C-06DCF5D43521}"/>
                  </a:ext>
                </a:extLst>
              </xdr:cNvPr>
              <xdr:cNvPicPr>
                <a:picLocks noChangeAspect="1" noChangeArrowheads="1"/>
                <a:extLst>
                  <a:ext uri="{84589F7E-364E-4C9E-8A38-B11213B215E9}">
                    <a14:cameraTool cellRange="Sheet1!$R$7:$S$13" spid="_x0000_s1368"/>
                  </a:ext>
                </a:extLst>
              </xdr:cNvPicPr>
            </xdr:nvPicPr>
            <xdr:blipFill>
              <a:blip xmlns:r="http://schemas.openxmlformats.org/officeDocument/2006/relationships" r:embed="rId4"/>
              <a:srcRect/>
              <a:stretch>
                <a:fillRect/>
              </a:stretch>
            </xdr:blipFill>
            <xdr:spPr bwMode="auto">
              <a:xfrm>
                <a:off x="4614863" y="5456237"/>
                <a:ext cx="1862137" cy="1568949"/>
              </a:xfrm>
              <a:prstGeom prst="rect">
                <a:avLst/>
              </a:prstGeom>
              <a:noFill/>
              <a:extLst>
                <a:ext uri="{909E8E84-426E-40DD-AFC4-6F175D3DCCD1}">
                  <a14:hiddenFill>
                    <a:solidFill>
                      <a:srgbClr val="FFFFFF"/>
                    </a:solidFill>
                  </a14:hiddenFill>
                </a:ext>
              </a:extLst>
            </xdr:spPr>
          </xdr:pic>
        </mc:Choice>
        <mc:Fallback/>
      </mc:AlternateContent>
      <xdr:sp macro="" textlink="">
        <xdr:nvSpPr>
          <xdr:cNvPr id="27" name="TextBox 26">
            <a:extLst>
              <a:ext uri="{FF2B5EF4-FFF2-40B4-BE49-F238E27FC236}">
                <a16:creationId xmlns:a16="http://schemas.microsoft.com/office/drawing/2014/main" id="{2D308002-B9DC-87C8-7250-B1B7D6DC4905}"/>
              </a:ext>
            </a:extLst>
          </xdr:cNvPr>
          <xdr:cNvSpPr txBox="1"/>
        </xdr:nvSpPr>
        <xdr:spPr>
          <a:xfrm>
            <a:off x="5264150" y="5421313"/>
            <a:ext cx="288926" cy="236537"/>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grpSp>
    <xdr:clientData/>
  </xdr:twoCellAnchor>
  <xdr:twoCellAnchor>
    <xdr:from>
      <xdr:col>2</xdr:col>
      <xdr:colOff>603251</xdr:colOff>
      <xdr:row>27</xdr:row>
      <xdr:rowOff>28223</xdr:rowOff>
    </xdr:from>
    <xdr:to>
      <xdr:col>4</xdr:col>
      <xdr:colOff>423334</xdr:colOff>
      <xdr:row>36</xdr:row>
      <xdr:rowOff>91722</xdr:rowOff>
    </xdr:to>
    <xdr:graphicFrame macro="">
      <xdr:nvGraphicFramePr>
        <xdr:cNvPr id="29" name="Chart 28">
          <a:extLst>
            <a:ext uri="{FF2B5EF4-FFF2-40B4-BE49-F238E27FC236}">
              <a16:creationId xmlns:a16="http://schemas.microsoft.com/office/drawing/2014/main" id="{2145C2A1-4765-459D-8350-ED9572D00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254000</xdr:colOff>
      <xdr:row>31</xdr:row>
      <xdr:rowOff>95250</xdr:rowOff>
    </xdr:from>
    <xdr:to>
      <xdr:col>4</xdr:col>
      <xdr:colOff>184150</xdr:colOff>
      <xdr:row>33</xdr:row>
      <xdr:rowOff>114300</xdr:rowOff>
    </xdr:to>
    <xdr:grpSp>
      <xdr:nvGrpSpPr>
        <xdr:cNvPr id="37" name="Group 36">
          <a:extLst>
            <a:ext uri="{FF2B5EF4-FFF2-40B4-BE49-F238E27FC236}">
              <a16:creationId xmlns:a16="http://schemas.microsoft.com/office/drawing/2014/main" id="{29345B54-35DB-EC68-FF25-93B48048B1D7}"/>
            </a:ext>
          </a:extLst>
        </xdr:cNvPr>
        <xdr:cNvGrpSpPr/>
      </xdr:nvGrpSpPr>
      <xdr:grpSpPr>
        <a:xfrm>
          <a:off x="2090964" y="6014357"/>
          <a:ext cx="542472" cy="400050"/>
          <a:chOff x="12033250" y="6032500"/>
          <a:chExt cx="514350" cy="393700"/>
        </a:xfrm>
      </xdr:grpSpPr>
      <xdr:sp macro="" textlink="Sheet1!W20">
        <xdr:nvSpPr>
          <xdr:cNvPr id="28" name="TextBox 24">
            <a:extLst>
              <a:ext uri="{FF2B5EF4-FFF2-40B4-BE49-F238E27FC236}">
                <a16:creationId xmlns:a16="http://schemas.microsoft.com/office/drawing/2014/main" id="{70BFDEA6-48DB-A322-1E9E-BD6666D10F5E}"/>
              </a:ext>
            </a:extLst>
          </xdr:cNvPr>
          <xdr:cNvSpPr txBox="1"/>
        </xdr:nvSpPr>
        <xdr:spPr>
          <a:xfrm>
            <a:off x="12084050" y="6197600"/>
            <a:ext cx="4635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fld id="{9FC24727-5559-4092-9629-37CC271EA686}" type="TxLink">
              <a:rPr lang="en-US" sz="900" b="1" i="0" u="none" strike="noStrike">
                <a:solidFill>
                  <a:srgbClr val="000000"/>
                </a:solidFill>
                <a:latin typeface="Arial"/>
                <a:cs typeface="Arial"/>
              </a:rPr>
              <a:pPr/>
              <a:t>36%</a:t>
            </a:fld>
            <a:endParaRPr lang="en-US" sz="1200" b="1"/>
          </a:p>
        </xdr:txBody>
      </xdr:sp>
      <xdr:sp macro="" textlink="Sheet1!U20">
        <xdr:nvSpPr>
          <xdr:cNvPr id="35" name="TextBox 34">
            <a:extLst>
              <a:ext uri="{FF2B5EF4-FFF2-40B4-BE49-F238E27FC236}">
                <a16:creationId xmlns:a16="http://schemas.microsoft.com/office/drawing/2014/main" id="{65B7CA89-C104-DD02-EB36-6FDDE3F9FF98}"/>
              </a:ext>
            </a:extLst>
          </xdr:cNvPr>
          <xdr:cNvSpPr txBox="1"/>
        </xdr:nvSpPr>
        <xdr:spPr>
          <a:xfrm>
            <a:off x="12033250" y="6032500"/>
            <a:ext cx="4699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099387-6907-46DD-8380-9408FE8739C6}" type="TxLink">
              <a:rPr lang="en-US" sz="800" b="0" i="0" u="none" strike="noStrike">
                <a:solidFill>
                  <a:srgbClr val="FFC000"/>
                </a:solidFill>
                <a:latin typeface="Arial"/>
                <a:cs typeface="Arial"/>
              </a:rPr>
              <a:pPr/>
              <a:t>Cash</a:t>
            </a:fld>
            <a:endParaRPr lang="en-US" sz="900" b="1">
              <a:latin typeface="Arial" panose="020B0604020202020204" pitchFamily="34" charset="0"/>
              <a:cs typeface="Arial" panose="020B0604020202020204" pitchFamily="34" charset="0"/>
            </a:endParaRPr>
          </a:p>
        </xdr:txBody>
      </xdr:sp>
    </xdr:grpSp>
    <xdr:clientData/>
  </xdr:twoCellAnchor>
  <xdr:twoCellAnchor>
    <xdr:from>
      <xdr:col>3</xdr:col>
      <xdr:colOff>6350</xdr:colOff>
      <xdr:row>26</xdr:row>
      <xdr:rowOff>139700</xdr:rowOff>
    </xdr:from>
    <xdr:to>
      <xdr:col>6</xdr:col>
      <xdr:colOff>542925</xdr:colOff>
      <xdr:row>29</xdr:row>
      <xdr:rowOff>38100</xdr:rowOff>
    </xdr:to>
    <xdr:sp macro="" textlink="">
      <xdr:nvSpPr>
        <xdr:cNvPr id="38" name="TextBox 37">
          <a:extLst>
            <a:ext uri="{FF2B5EF4-FFF2-40B4-BE49-F238E27FC236}">
              <a16:creationId xmlns:a16="http://schemas.microsoft.com/office/drawing/2014/main" id="{039EC3F0-6511-0FFE-7BDE-0D2F6D323565}"/>
            </a:ext>
          </a:extLst>
        </xdr:cNvPr>
        <xdr:cNvSpPr txBox="1"/>
      </xdr:nvSpPr>
      <xdr:spPr>
        <a:xfrm>
          <a:off x="1835150" y="5102225"/>
          <a:ext cx="2365375"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kern="1200" spc="0" baseline="0">
              <a:solidFill>
                <a:srgbClr val="000000">
                  <a:lumMod val="65000"/>
                  <a:lumOff val="35000"/>
                </a:srgbClr>
              </a:solidFill>
              <a:latin typeface="Arial" panose="020B0604020202020204" pitchFamily="34" charset="0"/>
              <a:ea typeface="+mn-ea"/>
              <a:cs typeface="Arial" panose="020B0604020202020204" pitchFamily="34" charset="0"/>
            </a:rPr>
            <a:t>EXPENSES BY PAYMENT METHOD</a:t>
          </a:r>
        </a:p>
      </xdr:txBody>
    </xdr:sp>
    <xdr:clientData/>
  </xdr:twoCellAnchor>
  <xdr:oneCellAnchor>
    <xdr:from>
      <xdr:col>3</xdr:col>
      <xdr:colOff>393700</xdr:colOff>
      <xdr:row>6</xdr:row>
      <xdr:rowOff>57150</xdr:rowOff>
    </xdr:from>
    <xdr:ext cx="1130300" cy="269369"/>
    <xdr:sp macro="" textlink="Sheet1!A4">
      <xdr:nvSpPr>
        <xdr:cNvPr id="39" name="TextBox 38">
          <a:extLst>
            <a:ext uri="{FF2B5EF4-FFF2-40B4-BE49-F238E27FC236}">
              <a16:creationId xmlns:a16="http://schemas.microsoft.com/office/drawing/2014/main" id="{BA1164E3-96AC-4DBB-EC85-C52D42A978FF}"/>
            </a:ext>
          </a:extLst>
        </xdr:cNvPr>
        <xdr:cNvSpPr txBox="1"/>
      </xdr:nvSpPr>
      <xdr:spPr>
        <a:xfrm>
          <a:off x="2222500" y="1187450"/>
          <a:ext cx="1130300" cy="26936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188BEDE2-8387-462E-881B-973EDC380E54}" type="TxLink">
            <a:rPr lang="en-US" sz="1200" b="1" i="0" u="none" strike="noStrike">
              <a:solidFill>
                <a:schemeClr val="tx2"/>
              </a:solidFill>
              <a:latin typeface="Arial" panose="020B0604020202020204" pitchFamily="34" charset="0"/>
              <a:ea typeface="Calibri"/>
              <a:cs typeface="Arial" panose="020B0604020202020204" pitchFamily="34" charset="0"/>
            </a:rPr>
            <a:pPr algn="r"/>
            <a:t>BDT 331,132</a:t>
          </a:fld>
          <a:endParaRPr lang="en-US" sz="1200" b="1">
            <a:solidFill>
              <a:schemeClr val="tx2"/>
            </a:solidFill>
            <a:latin typeface="Arial" panose="020B0604020202020204" pitchFamily="34" charset="0"/>
            <a:cs typeface="Arial" panose="020B0604020202020204" pitchFamily="34" charset="0"/>
          </a:endParaRPr>
        </a:p>
      </xdr:txBody>
    </xdr:sp>
    <xdr:clientData/>
  </xdr:oneCellAnchor>
  <xdr:oneCellAnchor>
    <xdr:from>
      <xdr:col>6</xdr:col>
      <xdr:colOff>523875</xdr:colOff>
      <xdr:row>6</xdr:row>
      <xdr:rowOff>57150</xdr:rowOff>
    </xdr:from>
    <xdr:ext cx="374650" cy="269369"/>
    <xdr:sp macro="" textlink="Sheet1!B4">
      <xdr:nvSpPr>
        <xdr:cNvPr id="43" name="TextBox 42">
          <a:extLst>
            <a:ext uri="{FF2B5EF4-FFF2-40B4-BE49-F238E27FC236}">
              <a16:creationId xmlns:a16="http://schemas.microsoft.com/office/drawing/2014/main" id="{E3E38A7F-3FA6-47E8-A83A-FD119D8FCAA1}"/>
            </a:ext>
          </a:extLst>
        </xdr:cNvPr>
        <xdr:cNvSpPr txBox="1"/>
      </xdr:nvSpPr>
      <xdr:spPr>
        <a:xfrm>
          <a:off x="4181475" y="1187450"/>
          <a:ext cx="374650" cy="26936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551DA067-C8FB-463C-AF6E-7890A6D35043}" type="TxLink">
            <a:rPr lang="en-US" sz="1200" b="1" i="0" u="none" strike="noStrike">
              <a:solidFill>
                <a:srgbClr val="00B050"/>
              </a:solidFill>
              <a:latin typeface="Arial" panose="020B0604020202020204" pitchFamily="34" charset="0"/>
              <a:ea typeface="Calibri"/>
              <a:cs typeface="Arial" panose="020B0604020202020204" pitchFamily="34" charset="0"/>
            </a:rPr>
            <a:pPr algn="r"/>
            <a:t>50</a:t>
          </a:fld>
          <a:endParaRPr lang="en-US" sz="1200" b="1">
            <a:solidFill>
              <a:srgbClr val="00B050"/>
            </a:solidFill>
            <a:latin typeface="Arial" panose="020B0604020202020204" pitchFamily="34" charset="0"/>
            <a:cs typeface="Arial" panose="020B0604020202020204" pitchFamily="34" charset="0"/>
          </a:endParaRPr>
        </a:p>
      </xdr:txBody>
    </xdr:sp>
    <xdr:clientData/>
  </xdr:oneCellAnchor>
  <xdr:oneCellAnchor>
    <xdr:from>
      <xdr:col>9</xdr:col>
      <xdr:colOff>203200</xdr:colOff>
      <xdr:row>6</xdr:row>
      <xdr:rowOff>57150</xdr:rowOff>
    </xdr:from>
    <xdr:ext cx="1047750" cy="269369"/>
    <xdr:sp macro="" textlink="Sheet1!D4">
      <xdr:nvSpPr>
        <xdr:cNvPr id="44" name="TextBox 43">
          <a:extLst>
            <a:ext uri="{FF2B5EF4-FFF2-40B4-BE49-F238E27FC236}">
              <a16:creationId xmlns:a16="http://schemas.microsoft.com/office/drawing/2014/main" id="{98C998B5-2BAE-4160-95D7-ED5FF273D5C5}"/>
            </a:ext>
          </a:extLst>
        </xdr:cNvPr>
        <xdr:cNvSpPr txBox="1"/>
      </xdr:nvSpPr>
      <xdr:spPr>
        <a:xfrm>
          <a:off x="5689600" y="1187450"/>
          <a:ext cx="1047750" cy="26936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9B4921C9-9173-4C78-AC43-DB7598BEB777}" type="TxLink">
            <a:rPr lang="en-US" sz="1200" b="1" i="0" u="none" strike="noStrike">
              <a:solidFill>
                <a:srgbClr val="FFC000"/>
              </a:solidFill>
              <a:latin typeface="Arial" panose="020B0604020202020204" pitchFamily="34" charset="0"/>
              <a:ea typeface="Calibri"/>
              <a:cs typeface="Arial" panose="020B0604020202020204" pitchFamily="34" charset="0"/>
            </a:rPr>
            <a:pPr algn="r"/>
            <a:t>BDT 73,733</a:t>
          </a:fld>
          <a:endParaRPr lang="en-US" sz="1200" b="1">
            <a:solidFill>
              <a:srgbClr val="FFC000"/>
            </a:solidFill>
            <a:latin typeface="Arial" panose="020B0604020202020204" pitchFamily="34" charset="0"/>
            <a:cs typeface="Arial" panose="020B0604020202020204" pitchFamily="34" charset="0"/>
          </a:endParaRPr>
        </a:p>
      </xdr:txBody>
    </xdr:sp>
    <xdr:clientData/>
  </xdr:oneCellAnchor>
  <xdr:oneCellAnchor>
    <xdr:from>
      <xdr:col>15</xdr:col>
      <xdr:colOff>25400</xdr:colOff>
      <xdr:row>6</xdr:row>
      <xdr:rowOff>57150</xdr:rowOff>
    </xdr:from>
    <xdr:ext cx="1060450" cy="269369"/>
    <xdr:sp macro="" textlink="Sheet1!F4">
      <xdr:nvSpPr>
        <xdr:cNvPr id="45" name="TextBox 44">
          <a:extLst>
            <a:ext uri="{FF2B5EF4-FFF2-40B4-BE49-F238E27FC236}">
              <a16:creationId xmlns:a16="http://schemas.microsoft.com/office/drawing/2014/main" id="{9442CF3F-C95D-47D1-BFEF-175B644BF057}"/>
            </a:ext>
          </a:extLst>
        </xdr:cNvPr>
        <xdr:cNvSpPr txBox="1"/>
      </xdr:nvSpPr>
      <xdr:spPr>
        <a:xfrm>
          <a:off x="9169400" y="1187450"/>
          <a:ext cx="1060450" cy="26936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96E73408-A7D8-4A21-A50F-596DEAA98D08}" type="TxLink">
            <a:rPr lang="en-US" sz="1200" b="1" i="0" u="none" strike="noStrike">
              <a:solidFill>
                <a:schemeClr val="accent5">
                  <a:lumMod val="50000"/>
                </a:schemeClr>
              </a:solidFill>
              <a:latin typeface="Arial" panose="020B0604020202020204" pitchFamily="34" charset="0"/>
              <a:ea typeface="Calibri"/>
              <a:cs typeface="Arial" panose="020B0604020202020204" pitchFamily="34" charset="0"/>
            </a:rPr>
            <a:pPr algn="r"/>
            <a:t>BDT 19,478</a:t>
          </a:fld>
          <a:endParaRPr lang="en-US" sz="1200" b="1">
            <a:solidFill>
              <a:schemeClr val="accent5">
                <a:lumMod val="50000"/>
              </a:schemeClr>
            </a:solidFill>
            <a:latin typeface="Arial" panose="020B0604020202020204" pitchFamily="34" charset="0"/>
            <a:cs typeface="Arial" panose="020B0604020202020204" pitchFamily="34" charset="0"/>
          </a:endParaRPr>
        </a:p>
      </xdr:txBody>
    </xdr:sp>
    <xdr:clientData/>
  </xdr:oneCellAnchor>
  <xdr:oneCellAnchor>
    <xdr:from>
      <xdr:col>12</xdr:col>
      <xdr:colOff>95249</xdr:colOff>
      <xdr:row>6</xdr:row>
      <xdr:rowOff>57150</xdr:rowOff>
    </xdr:from>
    <xdr:ext cx="930275" cy="269369"/>
    <xdr:sp macro="" textlink="Sheet1!E4">
      <xdr:nvSpPr>
        <xdr:cNvPr id="46" name="TextBox 45">
          <a:extLst>
            <a:ext uri="{FF2B5EF4-FFF2-40B4-BE49-F238E27FC236}">
              <a16:creationId xmlns:a16="http://schemas.microsoft.com/office/drawing/2014/main" id="{6D4B62D0-676C-41B1-9326-4F208E2B07BB}"/>
            </a:ext>
          </a:extLst>
        </xdr:cNvPr>
        <xdr:cNvSpPr txBox="1"/>
      </xdr:nvSpPr>
      <xdr:spPr>
        <a:xfrm>
          <a:off x="7410449" y="1187450"/>
          <a:ext cx="930275" cy="26936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fld id="{816B69F7-09C5-4D4E-BDC0-87057EC45362}" type="TxLink">
            <a:rPr lang="en-US" sz="1200" b="1" i="0" u="none" strike="noStrike">
              <a:solidFill>
                <a:srgbClr val="7030A0"/>
              </a:solidFill>
              <a:latin typeface="Arial" panose="020B0604020202020204" pitchFamily="34" charset="0"/>
              <a:ea typeface="Calibri"/>
              <a:cs typeface="Arial" panose="020B0604020202020204" pitchFamily="34" charset="0"/>
            </a:rPr>
            <a:pPr algn="r"/>
            <a:t>BDT 6,623</a:t>
          </a:fld>
          <a:endParaRPr lang="en-US" sz="1200" b="1">
            <a:solidFill>
              <a:srgbClr val="7030A0"/>
            </a:solidFill>
            <a:latin typeface="Arial" panose="020B0604020202020204" pitchFamily="34" charset="0"/>
            <a:cs typeface="Arial" panose="020B0604020202020204" pitchFamily="34" charset="0"/>
          </a:endParaRPr>
        </a:p>
      </xdr:txBody>
    </xdr:sp>
    <xdr:clientData/>
  </xdr:oneCellAnchor>
  <xdr:twoCellAnchor editAs="oneCell">
    <xdr:from>
      <xdr:col>0</xdr:col>
      <xdr:colOff>382128</xdr:colOff>
      <xdr:row>25</xdr:row>
      <xdr:rowOff>63923</xdr:rowOff>
    </xdr:from>
    <xdr:to>
      <xdr:col>2</xdr:col>
      <xdr:colOff>77327</xdr:colOff>
      <xdr:row>30</xdr:row>
      <xdr:rowOff>140122</xdr:rowOff>
    </xdr:to>
    <xdr:pic>
      <xdr:nvPicPr>
        <xdr:cNvPr id="66" name="Graphic 65" descr="Wallet with solid fill">
          <a:extLst>
            <a:ext uri="{FF2B5EF4-FFF2-40B4-BE49-F238E27FC236}">
              <a16:creationId xmlns:a16="http://schemas.microsoft.com/office/drawing/2014/main" id="{4CE2B6F6-59D8-4F1B-F264-AFDC28F950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2128" y="4678256"/>
          <a:ext cx="908755" cy="910872"/>
        </a:xfrm>
        <a:prstGeom prst="rect">
          <a:avLst/>
        </a:prstGeom>
      </xdr:spPr>
    </xdr:pic>
    <xdr:clientData/>
  </xdr:twoCellAnchor>
  <xdr:twoCellAnchor>
    <xdr:from>
      <xdr:col>0</xdr:col>
      <xdr:colOff>308520</xdr:colOff>
      <xdr:row>15</xdr:row>
      <xdr:rowOff>105131</xdr:rowOff>
    </xdr:from>
    <xdr:to>
      <xdr:col>2</xdr:col>
      <xdr:colOff>558192</xdr:colOff>
      <xdr:row>18</xdr:row>
      <xdr:rowOff>99721</xdr:rowOff>
    </xdr:to>
    <xdr:grpSp>
      <xdr:nvGrpSpPr>
        <xdr:cNvPr id="88" name="Group 87">
          <a:extLst>
            <a:ext uri="{FF2B5EF4-FFF2-40B4-BE49-F238E27FC236}">
              <a16:creationId xmlns:a16="http://schemas.microsoft.com/office/drawing/2014/main" id="{297A5187-B7A1-8C88-CB5F-43D9FCF1D0CB}"/>
            </a:ext>
          </a:extLst>
        </xdr:cNvPr>
        <xdr:cNvGrpSpPr/>
      </xdr:nvGrpSpPr>
      <xdr:grpSpPr>
        <a:xfrm>
          <a:off x="308520" y="3071488"/>
          <a:ext cx="1474315" cy="566090"/>
          <a:chOff x="308739" y="2835631"/>
          <a:chExt cx="1477339" cy="534340"/>
        </a:xfrm>
      </xdr:grpSpPr>
      <xdr:sp macro="" textlink="">
        <xdr:nvSpPr>
          <xdr:cNvPr id="21" name="TextBox 20">
            <a:hlinkClick xmlns:r="http://schemas.openxmlformats.org/officeDocument/2006/relationships" r:id="rId8"/>
            <a:extLst>
              <a:ext uri="{FF2B5EF4-FFF2-40B4-BE49-F238E27FC236}">
                <a16:creationId xmlns:a16="http://schemas.microsoft.com/office/drawing/2014/main" id="{00000000-0008-0000-0100-000015000000}"/>
              </a:ext>
            </a:extLst>
          </xdr:cNvPr>
          <xdr:cNvSpPr txBox="1"/>
        </xdr:nvSpPr>
        <xdr:spPr>
          <a:xfrm>
            <a:off x="686151" y="2835631"/>
            <a:ext cx="1099927" cy="5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chemeClr val="bg1"/>
                </a:solidFill>
                <a:latin typeface="Arial" pitchFamily="34" charset="0"/>
                <a:cs typeface="Arial" pitchFamily="34" charset="0"/>
              </a:rPr>
              <a:t>Payment  Methods</a:t>
            </a:r>
          </a:p>
        </xdr:txBody>
      </xdr:sp>
      <xdr:pic>
        <xdr:nvPicPr>
          <xdr:cNvPr id="58" name="Graphic 57" descr="Credit card with solid fill">
            <a:hlinkClick xmlns:r="http://schemas.openxmlformats.org/officeDocument/2006/relationships" r:id="rId8"/>
            <a:extLst>
              <a:ext uri="{FF2B5EF4-FFF2-40B4-BE49-F238E27FC236}">
                <a16:creationId xmlns:a16="http://schemas.microsoft.com/office/drawing/2014/main" id="{06059813-8671-BBFB-D3EE-ADD231666FF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8739" y="2860675"/>
            <a:ext cx="371281" cy="356922"/>
          </a:xfrm>
          <a:prstGeom prst="rect">
            <a:avLst/>
          </a:prstGeom>
        </xdr:spPr>
      </xdr:pic>
    </xdr:grpSp>
    <xdr:clientData/>
  </xdr:twoCellAnchor>
  <xdr:twoCellAnchor>
    <xdr:from>
      <xdr:col>0</xdr:col>
      <xdr:colOff>309142</xdr:colOff>
      <xdr:row>5</xdr:row>
      <xdr:rowOff>155574</xdr:rowOff>
    </xdr:from>
    <xdr:to>
      <xdr:col>2</xdr:col>
      <xdr:colOff>557603</xdr:colOff>
      <xdr:row>7</xdr:row>
      <xdr:rowOff>172243</xdr:rowOff>
    </xdr:to>
    <xdr:grpSp>
      <xdr:nvGrpSpPr>
        <xdr:cNvPr id="85" name="Group 84">
          <a:extLst>
            <a:ext uri="{FF2B5EF4-FFF2-40B4-BE49-F238E27FC236}">
              <a16:creationId xmlns:a16="http://schemas.microsoft.com/office/drawing/2014/main" id="{64D65CC2-1EE6-371E-A783-0478B756F4DC}"/>
            </a:ext>
          </a:extLst>
        </xdr:cNvPr>
        <xdr:cNvGrpSpPr/>
      </xdr:nvGrpSpPr>
      <xdr:grpSpPr>
        <a:xfrm>
          <a:off x="309142" y="1216931"/>
          <a:ext cx="1473104" cy="397669"/>
          <a:chOff x="309950" y="1086907"/>
          <a:chExt cx="1476128" cy="376503"/>
        </a:xfrm>
      </xdr:grpSpPr>
      <xdr:sp macro="" textlink="">
        <xdr:nvSpPr>
          <xdr:cNvPr id="17" name="TextBox 16">
            <a:hlinkClick xmlns:r="http://schemas.openxmlformats.org/officeDocument/2006/relationships" r:id="rId11"/>
            <a:extLst>
              <a:ext uri="{FF2B5EF4-FFF2-40B4-BE49-F238E27FC236}">
                <a16:creationId xmlns:a16="http://schemas.microsoft.com/office/drawing/2014/main" id="{00000000-0008-0000-0100-000011000000}"/>
              </a:ext>
            </a:extLst>
          </xdr:cNvPr>
          <xdr:cNvSpPr txBox="1"/>
        </xdr:nvSpPr>
        <xdr:spPr>
          <a:xfrm>
            <a:off x="686151" y="1195387"/>
            <a:ext cx="1099927" cy="268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chemeClr val="bg1"/>
                </a:solidFill>
                <a:latin typeface="Arial" pitchFamily="34" charset="0"/>
                <a:cs typeface="Arial" pitchFamily="34" charset="0"/>
              </a:rPr>
              <a:t>Overview</a:t>
            </a:r>
          </a:p>
        </xdr:txBody>
      </xdr:sp>
      <xdr:pic>
        <xdr:nvPicPr>
          <xdr:cNvPr id="62" name="Graphic 61" descr="Work from home Wi-Fi with solid fill">
            <a:hlinkClick xmlns:r="http://schemas.openxmlformats.org/officeDocument/2006/relationships" r:id="rId11"/>
            <a:extLst>
              <a:ext uri="{FF2B5EF4-FFF2-40B4-BE49-F238E27FC236}">
                <a16:creationId xmlns:a16="http://schemas.microsoft.com/office/drawing/2014/main" id="{E6974832-BEEE-E157-019A-058A7E64B0C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09950" y="1086907"/>
            <a:ext cx="369355" cy="356922"/>
          </a:xfrm>
          <a:prstGeom prst="rect">
            <a:avLst/>
          </a:prstGeom>
        </xdr:spPr>
      </xdr:pic>
    </xdr:grpSp>
    <xdr:clientData/>
  </xdr:twoCellAnchor>
  <xdr:twoCellAnchor>
    <xdr:from>
      <xdr:col>1</xdr:col>
      <xdr:colOff>75324</xdr:colOff>
      <xdr:row>9</xdr:row>
      <xdr:rowOff>92283</xdr:rowOff>
    </xdr:from>
    <xdr:to>
      <xdr:col>2</xdr:col>
      <xdr:colOff>558831</xdr:colOff>
      <xdr:row>10</xdr:row>
      <xdr:rowOff>183045</xdr:rowOff>
    </xdr:to>
    <xdr:sp macro="" textlink="">
      <xdr:nvSpPr>
        <xdr:cNvPr id="18" name="TextBox 17">
          <a:hlinkClick xmlns:r="http://schemas.openxmlformats.org/officeDocument/2006/relationships" r:id="rId14"/>
          <a:extLst>
            <a:ext uri="{FF2B5EF4-FFF2-40B4-BE49-F238E27FC236}">
              <a16:creationId xmlns:a16="http://schemas.microsoft.com/office/drawing/2014/main" id="{00000000-0008-0000-0100-000012000000}"/>
            </a:ext>
          </a:extLst>
        </xdr:cNvPr>
        <xdr:cNvSpPr txBox="1"/>
      </xdr:nvSpPr>
      <xdr:spPr>
        <a:xfrm>
          <a:off x="683866" y="1785616"/>
          <a:ext cx="1092048" cy="275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chemeClr val="bg1"/>
              </a:solidFill>
              <a:latin typeface="Arial" pitchFamily="34" charset="0"/>
              <a:cs typeface="Arial" pitchFamily="34" charset="0"/>
            </a:rPr>
            <a:t>Transaction</a:t>
          </a:r>
        </a:p>
      </xdr:txBody>
    </xdr:sp>
    <xdr:clientData/>
  </xdr:twoCellAnchor>
  <xdr:twoCellAnchor>
    <xdr:from>
      <xdr:col>0</xdr:col>
      <xdr:colOff>308537</xdr:colOff>
      <xdr:row>18</xdr:row>
      <xdr:rowOff>24184</xdr:rowOff>
    </xdr:from>
    <xdr:to>
      <xdr:col>2</xdr:col>
      <xdr:colOff>558209</xdr:colOff>
      <xdr:row>20</xdr:row>
      <xdr:rowOff>21273</xdr:rowOff>
    </xdr:to>
    <xdr:grpSp>
      <xdr:nvGrpSpPr>
        <xdr:cNvPr id="89" name="Group 88">
          <a:extLst>
            <a:ext uri="{FF2B5EF4-FFF2-40B4-BE49-F238E27FC236}">
              <a16:creationId xmlns:a16="http://schemas.microsoft.com/office/drawing/2014/main" id="{95B1086B-8E56-F956-6CAE-48E6A9D425D2}"/>
            </a:ext>
          </a:extLst>
        </xdr:cNvPr>
        <xdr:cNvGrpSpPr/>
      </xdr:nvGrpSpPr>
      <xdr:grpSpPr>
        <a:xfrm>
          <a:off x="308537" y="3562041"/>
          <a:ext cx="1474315" cy="378089"/>
          <a:chOff x="308739" y="3294434"/>
          <a:chExt cx="1477339" cy="356922"/>
        </a:xfrm>
      </xdr:grpSpPr>
      <xdr:sp macro="" textlink="">
        <xdr:nvSpPr>
          <xdr:cNvPr id="20" name="TextBox 19">
            <a:hlinkClick xmlns:r="http://schemas.openxmlformats.org/officeDocument/2006/relationships" r:id="rId15"/>
            <a:extLst>
              <a:ext uri="{FF2B5EF4-FFF2-40B4-BE49-F238E27FC236}">
                <a16:creationId xmlns:a16="http://schemas.microsoft.com/office/drawing/2014/main" id="{00000000-0008-0000-0100-000014000000}"/>
              </a:ext>
            </a:extLst>
          </xdr:cNvPr>
          <xdr:cNvSpPr txBox="1"/>
        </xdr:nvSpPr>
        <xdr:spPr>
          <a:xfrm>
            <a:off x="686151" y="3382379"/>
            <a:ext cx="1099927" cy="268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chemeClr val="bg1"/>
                </a:solidFill>
                <a:latin typeface="Arial" pitchFamily="34" charset="0"/>
                <a:cs typeface="Arial" pitchFamily="34" charset="0"/>
              </a:rPr>
              <a:t>Insights</a:t>
            </a:r>
          </a:p>
        </xdr:txBody>
      </xdr:sp>
      <xdr:pic>
        <xdr:nvPicPr>
          <xdr:cNvPr id="68" name="Graphic 67" descr="Signal with solid fill">
            <a:hlinkClick xmlns:r="http://schemas.openxmlformats.org/officeDocument/2006/relationships" r:id="rId15"/>
            <a:extLst>
              <a:ext uri="{FF2B5EF4-FFF2-40B4-BE49-F238E27FC236}">
                <a16:creationId xmlns:a16="http://schemas.microsoft.com/office/drawing/2014/main" id="{68786D32-ED1C-92FD-F4A5-A0878F61045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08739" y="3294434"/>
            <a:ext cx="370006" cy="356922"/>
          </a:xfrm>
          <a:prstGeom prst="rect">
            <a:avLst/>
          </a:prstGeom>
        </xdr:spPr>
      </xdr:pic>
    </xdr:grpSp>
    <xdr:clientData/>
  </xdr:twoCellAnchor>
  <xdr:twoCellAnchor>
    <xdr:from>
      <xdr:col>0</xdr:col>
      <xdr:colOff>308504</xdr:colOff>
      <xdr:row>12</xdr:row>
      <xdr:rowOff>22030</xdr:rowOff>
    </xdr:from>
    <xdr:to>
      <xdr:col>2</xdr:col>
      <xdr:colOff>558580</xdr:colOff>
      <xdr:row>14</xdr:row>
      <xdr:rowOff>19119</xdr:rowOff>
    </xdr:to>
    <xdr:grpSp>
      <xdr:nvGrpSpPr>
        <xdr:cNvPr id="32" name="Group 31">
          <a:extLst>
            <a:ext uri="{FF2B5EF4-FFF2-40B4-BE49-F238E27FC236}">
              <a16:creationId xmlns:a16="http://schemas.microsoft.com/office/drawing/2014/main" id="{391949D2-A18D-6028-D16E-2C2E22F4B60D}"/>
            </a:ext>
          </a:extLst>
        </xdr:cNvPr>
        <xdr:cNvGrpSpPr/>
      </xdr:nvGrpSpPr>
      <xdr:grpSpPr>
        <a:xfrm>
          <a:off x="308504" y="2416887"/>
          <a:ext cx="1474719" cy="378089"/>
          <a:chOff x="308504" y="2270988"/>
          <a:chExt cx="1467159" cy="367506"/>
        </a:xfrm>
      </xdr:grpSpPr>
      <xdr:sp macro="" textlink="">
        <xdr:nvSpPr>
          <xdr:cNvPr id="19" name="TextBox 18">
            <a:hlinkClick xmlns:r="http://schemas.openxmlformats.org/officeDocument/2006/relationships" r:id="rId18"/>
            <a:extLst>
              <a:ext uri="{FF2B5EF4-FFF2-40B4-BE49-F238E27FC236}">
                <a16:creationId xmlns:a16="http://schemas.microsoft.com/office/drawing/2014/main" id="{00000000-0008-0000-0100-000013000000}"/>
              </a:ext>
            </a:extLst>
          </xdr:cNvPr>
          <xdr:cNvSpPr txBox="1"/>
        </xdr:nvSpPr>
        <xdr:spPr>
          <a:xfrm>
            <a:off x="683614" y="2349349"/>
            <a:ext cx="1092049" cy="275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chemeClr val="bg1"/>
                </a:solidFill>
                <a:latin typeface="Arial" pitchFamily="34" charset="0"/>
                <a:cs typeface="Arial" pitchFamily="34" charset="0"/>
              </a:rPr>
              <a:t>Categories</a:t>
            </a:r>
          </a:p>
        </xdr:txBody>
      </xdr:sp>
      <xdr:pic>
        <xdr:nvPicPr>
          <xdr:cNvPr id="70" name="Graphic 69" descr="Pie chart with solid fill">
            <a:hlinkClick xmlns:r="http://schemas.openxmlformats.org/officeDocument/2006/relationships" r:id="rId18"/>
            <a:extLst>
              <a:ext uri="{FF2B5EF4-FFF2-40B4-BE49-F238E27FC236}">
                <a16:creationId xmlns:a16="http://schemas.microsoft.com/office/drawing/2014/main" id="{5ED739D6-A84E-7FC1-09D1-C7CCDBC29BD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08504" y="2270988"/>
            <a:ext cx="367991" cy="367506"/>
          </a:xfrm>
          <a:prstGeom prst="rect">
            <a:avLst/>
          </a:prstGeom>
        </xdr:spPr>
      </xdr:pic>
    </xdr:grpSp>
    <xdr:clientData/>
  </xdr:twoCellAnchor>
  <xdr:twoCellAnchor>
    <xdr:from>
      <xdr:col>3</xdr:col>
      <xdr:colOff>31750</xdr:colOff>
      <xdr:row>4</xdr:row>
      <xdr:rowOff>170583</xdr:rowOff>
    </xdr:from>
    <xdr:to>
      <xdr:col>3</xdr:col>
      <xdr:colOff>397510</xdr:colOff>
      <xdr:row>6</xdr:row>
      <xdr:rowOff>171218</xdr:rowOff>
    </xdr:to>
    <xdr:sp macro="" textlink="">
      <xdr:nvSpPr>
        <xdr:cNvPr id="74" name="Flowchart: Connector 73">
          <a:extLst>
            <a:ext uri="{FF2B5EF4-FFF2-40B4-BE49-F238E27FC236}">
              <a16:creationId xmlns:a16="http://schemas.microsoft.com/office/drawing/2014/main" id="{FFA8C278-CEDB-D37E-0164-EDDC82774395}"/>
            </a:ext>
          </a:extLst>
        </xdr:cNvPr>
        <xdr:cNvSpPr/>
      </xdr:nvSpPr>
      <xdr:spPr>
        <a:xfrm>
          <a:off x="1865313" y="924646"/>
          <a:ext cx="365760" cy="365760"/>
        </a:xfrm>
        <a:prstGeom prst="flowChartConnector">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solidFill>
          </a:endParaRPr>
        </a:p>
      </xdr:txBody>
    </xdr:sp>
    <xdr:clientData/>
  </xdr:twoCellAnchor>
  <xdr:twoCellAnchor>
    <xdr:from>
      <xdr:col>5</xdr:col>
      <xdr:colOff>484188</xdr:colOff>
      <xdr:row>4</xdr:row>
      <xdr:rowOff>170583</xdr:rowOff>
    </xdr:from>
    <xdr:to>
      <xdr:col>6</xdr:col>
      <xdr:colOff>238761</xdr:colOff>
      <xdr:row>6</xdr:row>
      <xdr:rowOff>171218</xdr:rowOff>
    </xdr:to>
    <xdr:sp macro="" textlink="">
      <xdr:nvSpPr>
        <xdr:cNvPr id="75" name="Flowchart: Connector 74">
          <a:extLst>
            <a:ext uri="{FF2B5EF4-FFF2-40B4-BE49-F238E27FC236}">
              <a16:creationId xmlns:a16="http://schemas.microsoft.com/office/drawing/2014/main" id="{92CD6172-2DBD-4464-98D7-EB208C7F7529}"/>
            </a:ext>
          </a:extLst>
        </xdr:cNvPr>
        <xdr:cNvSpPr/>
      </xdr:nvSpPr>
      <xdr:spPr>
        <a:xfrm>
          <a:off x="3532188" y="941050"/>
          <a:ext cx="364173" cy="373168"/>
        </a:xfrm>
        <a:prstGeom prst="flowChartConnector">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363103</xdr:colOff>
      <xdr:row>5</xdr:row>
      <xdr:rowOff>16933</xdr:rowOff>
    </xdr:from>
    <xdr:to>
      <xdr:col>9</xdr:col>
      <xdr:colOff>63500</xdr:colOff>
      <xdr:row>6</xdr:row>
      <xdr:rowOff>143933</xdr:rowOff>
    </xdr:to>
    <xdr:sp macro="" textlink="">
      <xdr:nvSpPr>
        <xdr:cNvPr id="76" name="Flowchart: Connector 75">
          <a:extLst>
            <a:ext uri="{FF2B5EF4-FFF2-40B4-BE49-F238E27FC236}">
              <a16:creationId xmlns:a16="http://schemas.microsoft.com/office/drawing/2014/main" id="{7845FF15-C09C-4A4B-B1CA-375E176B6838}"/>
            </a:ext>
          </a:extLst>
        </xdr:cNvPr>
        <xdr:cNvSpPr/>
      </xdr:nvSpPr>
      <xdr:spPr>
        <a:xfrm>
          <a:off x="5239903" y="973666"/>
          <a:ext cx="309997" cy="313267"/>
        </a:xfrm>
        <a:prstGeom prst="flowChartConnector">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234951</xdr:colOff>
      <xdr:row>4</xdr:row>
      <xdr:rowOff>170583</xdr:rowOff>
    </xdr:from>
    <xdr:to>
      <xdr:col>11</xdr:col>
      <xdr:colOff>600711</xdr:colOff>
      <xdr:row>6</xdr:row>
      <xdr:rowOff>171218</xdr:rowOff>
    </xdr:to>
    <xdr:sp macro="" textlink="">
      <xdr:nvSpPr>
        <xdr:cNvPr id="77" name="Flowchart: Connector 76">
          <a:extLst>
            <a:ext uri="{FF2B5EF4-FFF2-40B4-BE49-F238E27FC236}">
              <a16:creationId xmlns:a16="http://schemas.microsoft.com/office/drawing/2014/main" id="{BD7C7CBB-7F9B-4EEF-AAD9-6BF8E2E42CE3}"/>
            </a:ext>
          </a:extLst>
        </xdr:cNvPr>
        <xdr:cNvSpPr/>
      </xdr:nvSpPr>
      <xdr:spPr>
        <a:xfrm>
          <a:off x="6958014" y="924646"/>
          <a:ext cx="365760" cy="365760"/>
        </a:xfrm>
        <a:prstGeom prst="flowChartConnector">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312738</xdr:colOff>
      <xdr:row>4</xdr:row>
      <xdr:rowOff>170583</xdr:rowOff>
    </xdr:from>
    <xdr:to>
      <xdr:col>15</xdr:col>
      <xdr:colOff>67310</xdr:colOff>
      <xdr:row>6</xdr:row>
      <xdr:rowOff>171218</xdr:rowOff>
    </xdr:to>
    <xdr:sp macro="" textlink="">
      <xdr:nvSpPr>
        <xdr:cNvPr id="78" name="Flowchart: Connector 77">
          <a:extLst>
            <a:ext uri="{FF2B5EF4-FFF2-40B4-BE49-F238E27FC236}">
              <a16:creationId xmlns:a16="http://schemas.microsoft.com/office/drawing/2014/main" id="{6145B5C8-8F3D-4C73-9D77-90379ED30B5D}"/>
            </a:ext>
          </a:extLst>
        </xdr:cNvPr>
        <xdr:cNvSpPr/>
      </xdr:nvSpPr>
      <xdr:spPr>
        <a:xfrm>
          <a:off x="8869363" y="924646"/>
          <a:ext cx="365760" cy="365760"/>
        </a:xfrm>
        <a:prstGeom prst="flowChartConnector">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282574</xdr:colOff>
      <xdr:row>5</xdr:row>
      <xdr:rowOff>44450</xdr:rowOff>
    </xdr:from>
    <xdr:to>
      <xdr:col>11</xdr:col>
      <xdr:colOff>539749</xdr:colOff>
      <xdr:row>6</xdr:row>
      <xdr:rowOff>115947</xdr:rowOff>
    </xdr:to>
    <xdr:pic>
      <xdr:nvPicPr>
        <xdr:cNvPr id="50" name="Graphic 49" descr="Bar graph with upward trend with solid fill">
          <a:extLst>
            <a:ext uri="{FF2B5EF4-FFF2-40B4-BE49-F238E27FC236}">
              <a16:creationId xmlns:a16="http://schemas.microsoft.com/office/drawing/2014/main" id="{17727986-CD19-EF22-3BFD-A4218EA4D9FC}"/>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7005637" y="981075"/>
          <a:ext cx="257175" cy="254060"/>
        </a:xfrm>
        <a:prstGeom prst="rect">
          <a:avLst/>
        </a:prstGeom>
      </xdr:spPr>
    </xdr:pic>
    <xdr:clientData/>
  </xdr:twoCellAnchor>
  <xdr:twoCellAnchor editAs="oneCell">
    <xdr:from>
      <xdr:col>14</xdr:col>
      <xdr:colOff>375805</xdr:colOff>
      <xdr:row>5</xdr:row>
      <xdr:rowOff>41563</xdr:rowOff>
    </xdr:from>
    <xdr:to>
      <xdr:col>15</xdr:col>
      <xdr:colOff>22952</xdr:colOff>
      <xdr:row>6</xdr:row>
      <xdr:rowOff>117197</xdr:rowOff>
    </xdr:to>
    <xdr:pic>
      <xdr:nvPicPr>
        <xdr:cNvPr id="48" name="Graphic 47" descr="Monthly calendar with solid fill">
          <a:extLst>
            <a:ext uri="{FF2B5EF4-FFF2-40B4-BE49-F238E27FC236}">
              <a16:creationId xmlns:a16="http://schemas.microsoft.com/office/drawing/2014/main" id="{4BBE22A5-373F-379C-41EC-216DA978E12D}"/>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8942532" y="988290"/>
          <a:ext cx="259056" cy="260362"/>
        </a:xfrm>
        <a:prstGeom prst="rect">
          <a:avLst/>
        </a:prstGeom>
      </xdr:spPr>
    </xdr:pic>
    <xdr:clientData/>
  </xdr:twoCellAnchor>
  <xdr:twoCellAnchor editAs="oneCell">
    <xdr:from>
      <xdr:col>5</xdr:col>
      <xdr:colOff>542638</xdr:colOff>
      <xdr:row>5</xdr:row>
      <xdr:rowOff>40792</xdr:rowOff>
    </xdr:from>
    <xdr:to>
      <xdr:col>6</xdr:col>
      <xdr:colOff>186760</xdr:colOff>
      <xdr:row>6</xdr:row>
      <xdr:rowOff>112096</xdr:rowOff>
    </xdr:to>
    <xdr:pic>
      <xdr:nvPicPr>
        <xdr:cNvPr id="60" name="Graphic 59" descr="Credit card outline">
          <a:extLst>
            <a:ext uri="{FF2B5EF4-FFF2-40B4-BE49-F238E27FC236}">
              <a16:creationId xmlns:a16="http://schemas.microsoft.com/office/drawing/2014/main" id="{E5AA107B-145F-8619-096D-42B0C8C75C81}"/>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590638" y="997525"/>
          <a:ext cx="253722" cy="257571"/>
        </a:xfrm>
        <a:prstGeom prst="rect">
          <a:avLst/>
        </a:prstGeom>
      </xdr:spPr>
    </xdr:pic>
    <xdr:clientData/>
  </xdr:twoCellAnchor>
  <xdr:twoCellAnchor editAs="oneCell">
    <xdr:from>
      <xdr:col>8</xdr:col>
      <xdr:colOff>395143</xdr:colOff>
      <xdr:row>5</xdr:row>
      <xdr:rowOff>19918</xdr:rowOff>
    </xdr:from>
    <xdr:to>
      <xdr:col>9</xdr:col>
      <xdr:colOff>39716</xdr:colOff>
      <xdr:row>6</xdr:row>
      <xdr:rowOff>91222</xdr:rowOff>
    </xdr:to>
    <xdr:pic>
      <xdr:nvPicPr>
        <xdr:cNvPr id="56" name="Graphic 55" descr="Upward trend with solid fill">
          <a:extLst>
            <a:ext uri="{FF2B5EF4-FFF2-40B4-BE49-F238E27FC236}">
              <a16:creationId xmlns:a16="http://schemas.microsoft.com/office/drawing/2014/main" id="{89C0A38A-A911-788D-1CEF-BCE9FE1FE3EF}"/>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290416" y="966645"/>
          <a:ext cx="256482" cy="256032"/>
        </a:xfrm>
        <a:prstGeom prst="rect">
          <a:avLst/>
        </a:prstGeom>
      </xdr:spPr>
    </xdr:pic>
    <xdr:clientData/>
  </xdr:twoCellAnchor>
  <xdr:twoCellAnchor editAs="oneCell">
    <xdr:from>
      <xdr:col>3</xdr:col>
      <xdr:colOff>96314</xdr:colOff>
      <xdr:row>5</xdr:row>
      <xdr:rowOff>31082</xdr:rowOff>
    </xdr:from>
    <xdr:to>
      <xdr:col>3</xdr:col>
      <xdr:colOff>352185</xdr:colOff>
      <xdr:row>6</xdr:row>
      <xdr:rowOff>102386</xdr:rowOff>
    </xdr:to>
    <xdr:pic>
      <xdr:nvPicPr>
        <xdr:cNvPr id="52" name="Graphic 51" descr="Hockey Stick Curve Graph with solid fill">
          <a:extLst>
            <a:ext uri="{FF2B5EF4-FFF2-40B4-BE49-F238E27FC236}">
              <a16:creationId xmlns:a16="http://schemas.microsoft.com/office/drawing/2014/main" id="{B43CF82A-024D-CCC4-C237-5CE519125F1C}"/>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1932041" y="977809"/>
          <a:ext cx="255871" cy="256032"/>
        </a:xfrm>
        <a:prstGeom prst="rect">
          <a:avLst/>
        </a:prstGeom>
      </xdr:spPr>
    </xdr:pic>
    <xdr:clientData/>
  </xdr:twoCellAnchor>
  <xdr:twoCellAnchor>
    <xdr:from>
      <xdr:col>0</xdr:col>
      <xdr:colOff>500944</xdr:colOff>
      <xdr:row>0</xdr:row>
      <xdr:rowOff>190500</xdr:rowOff>
    </xdr:from>
    <xdr:to>
      <xdr:col>1</xdr:col>
      <xdr:colOff>351366</xdr:colOff>
      <xdr:row>3</xdr:row>
      <xdr:rowOff>69144</xdr:rowOff>
    </xdr:to>
    <xdr:sp macro="" textlink="">
      <xdr:nvSpPr>
        <xdr:cNvPr id="79" name="Flowchart: Connector 78">
          <a:extLst>
            <a:ext uri="{FF2B5EF4-FFF2-40B4-BE49-F238E27FC236}">
              <a16:creationId xmlns:a16="http://schemas.microsoft.com/office/drawing/2014/main" id="{9423B006-AF42-4EB7-8964-DF30C328F153}"/>
            </a:ext>
          </a:extLst>
        </xdr:cNvPr>
        <xdr:cNvSpPr/>
      </xdr:nvSpPr>
      <xdr:spPr>
        <a:xfrm>
          <a:off x="500944" y="190500"/>
          <a:ext cx="457200" cy="457200"/>
        </a:xfrm>
        <a:prstGeom prst="flowChartConnector">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solidFill>
          </a:endParaRPr>
        </a:p>
      </xdr:txBody>
    </xdr:sp>
    <xdr:clientData/>
  </xdr:twoCellAnchor>
  <xdr:twoCellAnchor editAs="oneCell">
    <xdr:from>
      <xdr:col>0</xdr:col>
      <xdr:colOff>550336</xdr:colOff>
      <xdr:row>1</xdr:row>
      <xdr:rowOff>21168</xdr:rowOff>
    </xdr:from>
    <xdr:to>
      <xdr:col>1</xdr:col>
      <xdr:colOff>317502</xdr:colOff>
      <xdr:row>3</xdr:row>
      <xdr:rowOff>28223</xdr:rowOff>
    </xdr:to>
    <xdr:pic>
      <xdr:nvPicPr>
        <xdr:cNvPr id="84" name="Graphic 83" descr="Wallet with solid fill">
          <a:extLst>
            <a:ext uri="{FF2B5EF4-FFF2-40B4-BE49-F238E27FC236}">
              <a16:creationId xmlns:a16="http://schemas.microsoft.com/office/drawing/2014/main" id="{10BAF80D-E880-02C8-B0D1-0457BEB8207D}"/>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550336" y="232835"/>
          <a:ext cx="373944" cy="373944"/>
        </a:xfrm>
        <a:prstGeom prst="rect">
          <a:avLst/>
        </a:prstGeom>
      </xdr:spPr>
    </xdr:pic>
    <xdr:clientData/>
  </xdr:twoCellAnchor>
  <xdr:twoCellAnchor>
    <xdr:from>
      <xdr:col>4</xdr:col>
      <xdr:colOff>449792</xdr:colOff>
      <xdr:row>28</xdr:row>
      <xdr:rowOff>189442</xdr:rowOff>
    </xdr:from>
    <xdr:to>
      <xdr:col>7</xdr:col>
      <xdr:colOff>28575</xdr:colOff>
      <xdr:row>35</xdr:row>
      <xdr:rowOff>90664</xdr:rowOff>
    </xdr:to>
    <xdr:grpSp>
      <xdr:nvGrpSpPr>
        <xdr:cNvPr id="30" name="Group 29">
          <a:extLst>
            <a:ext uri="{FF2B5EF4-FFF2-40B4-BE49-F238E27FC236}">
              <a16:creationId xmlns:a16="http://schemas.microsoft.com/office/drawing/2014/main" id="{552A5496-E5ED-4CE7-B8FF-B87BB5FD80FA}"/>
            </a:ext>
          </a:extLst>
        </xdr:cNvPr>
        <xdr:cNvGrpSpPr/>
      </xdr:nvGrpSpPr>
      <xdr:grpSpPr>
        <a:xfrm>
          <a:off x="2899078" y="5537049"/>
          <a:ext cx="1415747" cy="1234722"/>
          <a:chOff x="2888192" y="5532967"/>
          <a:chExt cx="1407583" cy="1234722"/>
        </a:xfrm>
      </xdr:grpSpPr>
      <mc:AlternateContent xmlns:mc="http://schemas.openxmlformats.org/markup-compatibility/2006">
        <mc:Choice xmlns:a14="http://schemas.microsoft.com/office/drawing/2010/main" Requires="a14">
          <xdr:pic>
            <xdr:nvPicPr>
              <xdr:cNvPr id="34" name="Picture 33">
                <a:extLst>
                  <a:ext uri="{FF2B5EF4-FFF2-40B4-BE49-F238E27FC236}">
                    <a16:creationId xmlns:a16="http://schemas.microsoft.com/office/drawing/2014/main" id="{EB7C7DDA-1E06-D358-FA28-E6839EB38EFA}"/>
                  </a:ext>
                </a:extLst>
              </xdr:cNvPr>
              <xdr:cNvPicPr>
                <a:picLocks noChangeAspect="1" noChangeArrowheads="1"/>
                <a:extLst>
                  <a:ext uri="{84589F7E-364E-4C9E-8A38-B11213B215E9}">
                    <a14:cameraTool cellRange="Sheet1!$U$19:$W$24" spid="_x0000_s1369"/>
                  </a:ext>
                </a:extLst>
              </xdr:cNvPicPr>
            </xdr:nvPicPr>
            <xdr:blipFill>
              <a:blip xmlns:r="http://schemas.openxmlformats.org/officeDocument/2006/relationships" r:embed="rId33"/>
              <a:srcRect/>
              <a:stretch>
                <a:fillRect/>
              </a:stretch>
            </xdr:blipFill>
            <xdr:spPr bwMode="auto">
              <a:xfrm>
                <a:off x="2888192" y="5532967"/>
                <a:ext cx="1407583" cy="1234722"/>
              </a:xfrm>
              <a:prstGeom prst="rect">
                <a:avLst/>
              </a:prstGeom>
              <a:noFill/>
              <a:extLst>
                <a:ext uri="{909E8E84-426E-40DD-AFC4-6F175D3DCCD1}">
                  <a14:hiddenFill>
                    <a:solidFill>
                      <a:srgbClr val="FFFFFF"/>
                    </a:solidFill>
                  </a14:hiddenFill>
                </a:ext>
              </a:extLst>
            </xdr:spPr>
          </xdr:pic>
        </mc:Choice>
        <mc:Fallback/>
      </mc:AlternateContent>
      <xdr:sp macro="" textlink="">
        <xdr:nvSpPr>
          <xdr:cNvPr id="93" name="TextBox 92">
            <a:extLst>
              <a:ext uri="{FF2B5EF4-FFF2-40B4-BE49-F238E27FC236}">
                <a16:creationId xmlns:a16="http://schemas.microsoft.com/office/drawing/2014/main" id="{3CB1484F-CB83-77F6-0C49-CFFAF7F0C62F}"/>
              </a:ext>
            </a:extLst>
          </xdr:cNvPr>
          <xdr:cNvSpPr txBox="1"/>
        </xdr:nvSpPr>
        <xdr:spPr>
          <a:xfrm>
            <a:off x="3362326" y="5629276"/>
            <a:ext cx="165388" cy="2060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grpSp>
    <xdr:clientData/>
  </xdr:twoCellAnchor>
  <xdr:twoCellAnchor editAs="oneCell">
    <xdr:from>
      <xdr:col>0</xdr:col>
      <xdr:colOff>275166</xdr:colOff>
      <xdr:row>9</xdr:row>
      <xdr:rowOff>21166</xdr:rowOff>
    </xdr:from>
    <xdr:to>
      <xdr:col>1</xdr:col>
      <xdr:colOff>27093</xdr:colOff>
      <xdr:row>11</xdr:row>
      <xdr:rowOff>27093</xdr:rowOff>
    </xdr:to>
    <xdr:pic>
      <xdr:nvPicPr>
        <xdr:cNvPr id="36" name="Graphic 35" descr="Register with solid fill">
          <a:hlinkClick xmlns:r="http://schemas.openxmlformats.org/officeDocument/2006/relationships" r:id="rId14"/>
          <a:extLst>
            <a:ext uri="{FF2B5EF4-FFF2-40B4-BE49-F238E27FC236}">
              <a16:creationId xmlns:a16="http://schemas.microsoft.com/office/drawing/2014/main" id="{30C7EF15-C08C-AE98-7D83-DA3C38D57101}"/>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275166" y="1672166"/>
          <a:ext cx="365760" cy="365760"/>
        </a:xfrm>
        <a:prstGeom prst="rect">
          <a:avLst/>
        </a:prstGeom>
      </xdr:spPr>
    </xdr:pic>
    <xdr:clientData/>
  </xdr:twoCellAnchor>
  <xdr:twoCellAnchor editAs="oneCell">
    <xdr:from>
      <xdr:col>13</xdr:col>
      <xdr:colOff>308428</xdr:colOff>
      <xdr:row>0</xdr:row>
      <xdr:rowOff>67816</xdr:rowOff>
    </xdr:from>
    <xdr:to>
      <xdr:col>16</xdr:col>
      <xdr:colOff>582748</xdr:colOff>
      <xdr:row>4</xdr:row>
      <xdr:rowOff>84364</xdr:rowOff>
    </xdr:to>
    <mc:AlternateContent xmlns:mc="http://schemas.openxmlformats.org/markup-compatibility/2006" xmlns:a14="http://schemas.microsoft.com/office/drawing/2010/main">
      <mc:Choice Requires="a14">
        <xdr:graphicFrame macro="">
          <xdr:nvGraphicFramePr>
            <xdr:cNvPr id="47" name="Payment Method 2">
              <a:extLst>
                <a:ext uri="{FF2B5EF4-FFF2-40B4-BE49-F238E27FC236}">
                  <a16:creationId xmlns:a16="http://schemas.microsoft.com/office/drawing/2014/main" id="{601A262B-7551-442C-ADBD-67423DDB7F97}"/>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8233228" y="67816"/>
              <a:ext cx="2103120" cy="8674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371930</xdr:colOff>
      <xdr:row>12</xdr:row>
      <xdr:rowOff>14514</xdr:rowOff>
    </xdr:from>
    <xdr:to>
      <xdr:col>16</xdr:col>
      <xdr:colOff>498930</xdr:colOff>
      <xdr:row>24</xdr:row>
      <xdr:rowOff>108857</xdr:rowOff>
    </xdr:to>
    <xdr:graphicFrame macro="">
      <xdr:nvGraphicFramePr>
        <xdr:cNvPr id="51" name="Chart 50">
          <a:extLst>
            <a:ext uri="{FF2B5EF4-FFF2-40B4-BE49-F238E27FC236}">
              <a16:creationId xmlns:a16="http://schemas.microsoft.com/office/drawing/2014/main" id="{85A82066-3913-4256-A508-0080D6935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editAs="oneCell">
    <xdr:from>
      <xdr:col>8</xdr:col>
      <xdr:colOff>380999</xdr:colOff>
      <xdr:row>0</xdr:row>
      <xdr:rowOff>44531</xdr:rowOff>
    </xdr:from>
    <xdr:to>
      <xdr:col>13</xdr:col>
      <xdr:colOff>343504</xdr:colOff>
      <xdr:row>4</xdr:row>
      <xdr:rowOff>65105</xdr:rowOff>
    </xdr:to>
    <mc:AlternateContent xmlns:mc="http://schemas.openxmlformats.org/markup-compatibility/2006">
      <mc:Choice xmlns:a14="http://schemas.microsoft.com/office/drawing/2010/main" Requires="a14">
        <xdr:graphicFrame macro="">
          <xdr:nvGraphicFramePr>
            <xdr:cNvPr id="53" name="Date ">
              <a:extLst>
                <a:ext uri="{FF2B5EF4-FFF2-40B4-BE49-F238E27FC236}">
                  <a16:creationId xmlns:a16="http://schemas.microsoft.com/office/drawing/2014/main" id="{F7C387EB-FD07-477F-AAD1-543D16C171A8}"/>
                </a:ext>
              </a:extLst>
            </xdr:cNvPr>
            <xdr:cNvGraphicFramePr/>
          </xdr:nvGraphicFramePr>
          <xdr:xfrm>
            <a:off x="0" y="0"/>
            <a:ext cx="0" cy="0"/>
          </xdr:xfrm>
          <a:graphic>
            <a:graphicData uri="http://schemas.microsoft.com/office/drawing/2010/slicer">
              <sle:slicer xmlns:sle="http://schemas.microsoft.com/office/drawing/2010/slicer" name="Date "/>
            </a:graphicData>
          </a:graphic>
        </xdr:graphicFrame>
      </mc:Choice>
      <mc:Fallback>
        <xdr:sp macro="" textlink="">
          <xdr:nvSpPr>
            <xdr:cNvPr id="0" name=""/>
            <xdr:cNvSpPr>
              <a:spLocks noTextEdit="1"/>
            </xdr:cNvSpPr>
          </xdr:nvSpPr>
          <xdr:spPr>
            <a:xfrm>
              <a:off x="5279570" y="44531"/>
              <a:ext cx="3024113" cy="877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9525</xdr:colOff>
      <xdr:row>0</xdr:row>
      <xdr:rowOff>152400</xdr:rowOff>
    </xdr:from>
    <xdr:to>
      <xdr:col>12</xdr:col>
      <xdr:colOff>158917</xdr:colOff>
      <xdr:row>2</xdr:row>
      <xdr:rowOff>147206</xdr:rowOff>
    </xdr:to>
    <xdr:grpSp>
      <xdr:nvGrpSpPr>
        <xdr:cNvPr id="2" name="Group 1">
          <a:extLst>
            <a:ext uri="{FF2B5EF4-FFF2-40B4-BE49-F238E27FC236}">
              <a16:creationId xmlns:a16="http://schemas.microsoft.com/office/drawing/2014/main" id="{E3AE2233-E562-4D7C-9699-D3961EDC8827}"/>
            </a:ext>
          </a:extLst>
        </xdr:cNvPr>
        <xdr:cNvGrpSpPr/>
      </xdr:nvGrpSpPr>
      <xdr:grpSpPr>
        <a:xfrm>
          <a:off x="7315200" y="152400"/>
          <a:ext cx="1311442" cy="394856"/>
          <a:chOff x="3434196" y="224269"/>
          <a:chExt cx="1311442" cy="394856"/>
        </a:xfrm>
      </xdr:grpSpPr>
      <xdr:sp macro="" textlink="">
        <xdr:nvSpPr>
          <xdr:cNvPr id="3" name="Arrow: Bent-Up 2">
            <a:extLst>
              <a:ext uri="{FF2B5EF4-FFF2-40B4-BE49-F238E27FC236}">
                <a16:creationId xmlns:a16="http://schemas.microsoft.com/office/drawing/2014/main" id="{EECB1715-D02F-4719-B3CC-318A55FEC638}"/>
              </a:ext>
            </a:extLst>
          </xdr:cNvPr>
          <xdr:cNvSpPr/>
        </xdr:nvSpPr>
        <xdr:spPr>
          <a:xfrm>
            <a:off x="4288438" y="224269"/>
            <a:ext cx="457200" cy="274320"/>
          </a:xfrm>
          <a:prstGeom prst="bentUpArrow">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hlinkClick xmlns:r="http://schemas.openxmlformats.org/officeDocument/2006/relationships" r:id="rId1"/>
            <a:extLst>
              <a:ext uri="{FF2B5EF4-FFF2-40B4-BE49-F238E27FC236}">
                <a16:creationId xmlns:a16="http://schemas.microsoft.com/office/drawing/2014/main" id="{89AA947F-A854-4519-B2A0-06F228533440}"/>
              </a:ext>
            </a:extLst>
          </xdr:cNvPr>
          <xdr:cNvSpPr txBox="1"/>
        </xdr:nvSpPr>
        <xdr:spPr>
          <a:xfrm>
            <a:off x="3434196" y="274999"/>
            <a:ext cx="915451" cy="344126"/>
          </a:xfrm>
          <a:prstGeom prst="rect">
            <a:avLst/>
          </a:prstGeom>
          <a:solidFill>
            <a:srgbClr val="0070C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bg1"/>
                </a:solidFill>
                <a:latin typeface="Arial" panose="020B0604020202020204" pitchFamily="34" charset="0"/>
                <a:cs typeface="Arial" panose="020B0604020202020204" pitchFamily="34" charset="0"/>
              </a:rPr>
              <a:t>Dashboard</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352425</xdr:colOff>
      <xdr:row>0</xdr:row>
      <xdr:rowOff>104775</xdr:rowOff>
    </xdr:from>
    <xdr:to>
      <xdr:col>8</xdr:col>
      <xdr:colOff>501817</xdr:colOff>
      <xdr:row>2</xdr:row>
      <xdr:rowOff>99581</xdr:rowOff>
    </xdr:to>
    <xdr:grpSp>
      <xdr:nvGrpSpPr>
        <xdr:cNvPr id="5" name="Group 4">
          <a:extLst>
            <a:ext uri="{FF2B5EF4-FFF2-40B4-BE49-F238E27FC236}">
              <a16:creationId xmlns:a16="http://schemas.microsoft.com/office/drawing/2014/main" id="{ABF24C8E-62D2-4ACB-B424-49C151EC80AA}"/>
            </a:ext>
          </a:extLst>
        </xdr:cNvPr>
        <xdr:cNvGrpSpPr/>
      </xdr:nvGrpSpPr>
      <xdr:grpSpPr>
        <a:xfrm>
          <a:off x="5638800" y="104775"/>
          <a:ext cx="1311442" cy="394856"/>
          <a:chOff x="3434196" y="224269"/>
          <a:chExt cx="1311442" cy="394856"/>
        </a:xfrm>
      </xdr:grpSpPr>
      <xdr:sp macro="" textlink="">
        <xdr:nvSpPr>
          <xdr:cNvPr id="6" name="Arrow: Bent-Up 5">
            <a:extLst>
              <a:ext uri="{FF2B5EF4-FFF2-40B4-BE49-F238E27FC236}">
                <a16:creationId xmlns:a16="http://schemas.microsoft.com/office/drawing/2014/main" id="{A0CA4887-C784-4BAF-9596-E4C0B62A23C6}"/>
              </a:ext>
            </a:extLst>
          </xdr:cNvPr>
          <xdr:cNvSpPr/>
        </xdr:nvSpPr>
        <xdr:spPr>
          <a:xfrm>
            <a:off x="4288438" y="224269"/>
            <a:ext cx="457200" cy="274320"/>
          </a:xfrm>
          <a:prstGeom prst="bentUpArrow">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hlinkClick xmlns:r="http://schemas.openxmlformats.org/officeDocument/2006/relationships" r:id="rId1"/>
            <a:extLst>
              <a:ext uri="{FF2B5EF4-FFF2-40B4-BE49-F238E27FC236}">
                <a16:creationId xmlns:a16="http://schemas.microsoft.com/office/drawing/2014/main" id="{CD2A99A3-6488-4E25-81AA-20A7C20A6150}"/>
              </a:ext>
            </a:extLst>
          </xdr:cNvPr>
          <xdr:cNvSpPr txBox="1"/>
        </xdr:nvSpPr>
        <xdr:spPr>
          <a:xfrm>
            <a:off x="3434196" y="274999"/>
            <a:ext cx="915451" cy="344126"/>
          </a:xfrm>
          <a:prstGeom prst="rect">
            <a:avLst/>
          </a:prstGeom>
          <a:solidFill>
            <a:srgbClr val="0070C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bg1"/>
                </a:solidFill>
                <a:latin typeface="Arial" panose="020B0604020202020204" pitchFamily="34" charset="0"/>
                <a:cs typeface="Arial" panose="020B0604020202020204" pitchFamily="34" charset="0"/>
              </a:rPr>
              <a:t>Dashboard</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309996</xdr:colOff>
      <xdr:row>0</xdr:row>
      <xdr:rowOff>109969</xdr:rowOff>
    </xdr:from>
    <xdr:to>
      <xdr:col>6</xdr:col>
      <xdr:colOff>402238</xdr:colOff>
      <xdr:row>2</xdr:row>
      <xdr:rowOff>123825</xdr:rowOff>
    </xdr:to>
    <xdr:grpSp>
      <xdr:nvGrpSpPr>
        <xdr:cNvPr id="5" name="Group 4">
          <a:extLst>
            <a:ext uri="{FF2B5EF4-FFF2-40B4-BE49-F238E27FC236}">
              <a16:creationId xmlns:a16="http://schemas.microsoft.com/office/drawing/2014/main" id="{5462A571-64B7-4301-A3E5-CB5CEA5008F0}"/>
            </a:ext>
          </a:extLst>
        </xdr:cNvPr>
        <xdr:cNvGrpSpPr/>
      </xdr:nvGrpSpPr>
      <xdr:grpSpPr>
        <a:xfrm>
          <a:off x="3415146" y="109969"/>
          <a:ext cx="1311442" cy="394856"/>
          <a:chOff x="3434196" y="224269"/>
          <a:chExt cx="1311442" cy="394856"/>
        </a:xfrm>
      </xdr:grpSpPr>
      <xdr:sp macro="" textlink="">
        <xdr:nvSpPr>
          <xdr:cNvPr id="3" name="Arrow: Bent-Up 2">
            <a:extLst>
              <a:ext uri="{FF2B5EF4-FFF2-40B4-BE49-F238E27FC236}">
                <a16:creationId xmlns:a16="http://schemas.microsoft.com/office/drawing/2014/main" id="{5354C54E-A59F-49DA-9626-48E979F1C628}"/>
              </a:ext>
            </a:extLst>
          </xdr:cNvPr>
          <xdr:cNvSpPr/>
        </xdr:nvSpPr>
        <xdr:spPr>
          <a:xfrm>
            <a:off x="4288438" y="224269"/>
            <a:ext cx="457200" cy="274320"/>
          </a:xfrm>
          <a:prstGeom prst="bentUpArrow">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hlinkClick xmlns:r="http://schemas.openxmlformats.org/officeDocument/2006/relationships" r:id="rId1"/>
            <a:extLst>
              <a:ext uri="{FF2B5EF4-FFF2-40B4-BE49-F238E27FC236}">
                <a16:creationId xmlns:a16="http://schemas.microsoft.com/office/drawing/2014/main" id="{9E45A92B-AF16-4366-9C8E-8363F90FDE0F}"/>
              </a:ext>
            </a:extLst>
          </xdr:cNvPr>
          <xdr:cNvSpPr txBox="1"/>
        </xdr:nvSpPr>
        <xdr:spPr>
          <a:xfrm>
            <a:off x="3434196" y="274999"/>
            <a:ext cx="915451" cy="344126"/>
          </a:xfrm>
          <a:prstGeom prst="rect">
            <a:avLst/>
          </a:prstGeom>
          <a:solidFill>
            <a:srgbClr val="0070C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bg1"/>
                </a:solidFill>
                <a:latin typeface="Arial" panose="020B0604020202020204" pitchFamily="34" charset="0"/>
                <a:cs typeface="Arial" panose="020B0604020202020204" pitchFamily="34" charset="0"/>
              </a:rPr>
              <a:t>Dashboard</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114300</xdr:colOff>
      <xdr:row>0</xdr:row>
      <xdr:rowOff>190500</xdr:rowOff>
    </xdr:from>
    <xdr:to>
      <xdr:col>9</xdr:col>
      <xdr:colOff>263692</xdr:colOff>
      <xdr:row>2</xdr:row>
      <xdr:rowOff>185306</xdr:rowOff>
    </xdr:to>
    <xdr:grpSp>
      <xdr:nvGrpSpPr>
        <xdr:cNvPr id="5" name="Group 4">
          <a:extLst>
            <a:ext uri="{FF2B5EF4-FFF2-40B4-BE49-F238E27FC236}">
              <a16:creationId xmlns:a16="http://schemas.microsoft.com/office/drawing/2014/main" id="{762822A8-14B1-4540-A2C2-F573FAC626D7}"/>
            </a:ext>
          </a:extLst>
        </xdr:cNvPr>
        <xdr:cNvGrpSpPr/>
      </xdr:nvGrpSpPr>
      <xdr:grpSpPr>
        <a:xfrm>
          <a:off x="6457950" y="190500"/>
          <a:ext cx="1311442" cy="394856"/>
          <a:chOff x="3434196" y="224269"/>
          <a:chExt cx="1311442" cy="394856"/>
        </a:xfrm>
      </xdr:grpSpPr>
      <xdr:sp macro="" textlink="">
        <xdr:nvSpPr>
          <xdr:cNvPr id="6" name="Arrow: Bent-Up 5">
            <a:extLst>
              <a:ext uri="{FF2B5EF4-FFF2-40B4-BE49-F238E27FC236}">
                <a16:creationId xmlns:a16="http://schemas.microsoft.com/office/drawing/2014/main" id="{07D9134F-AAFE-4D6D-9A10-75CA8B092129}"/>
              </a:ext>
            </a:extLst>
          </xdr:cNvPr>
          <xdr:cNvSpPr/>
        </xdr:nvSpPr>
        <xdr:spPr>
          <a:xfrm>
            <a:off x="4288438" y="224269"/>
            <a:ext cx="457200" cy="274320"/>
          </a:xfrm>
          <a:prstGeom prst="bentUpArrow">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hlinkClick xmlns:r="http://schemas.openxmlformats.org/officeDocument/2006/relationships" r:id="rId1"/>
            <a:extLst>
              <a:ext uri="{FF2B5EF4-FFF2-40B4-BE49-F238E27FC236}">
                <a16:creationId xmlns:a16="http://schemas.microsoft.com/office/drawing/2014/main" id="{4D67C37B-7DB2-420A-86F7-485DCCDC91C4}"/>
              </a:ext>
            </a:extLst>
          </xdr:cNvPr>
          <xdr:cNvSpPr txBox="1"/>
        </xdr:nvSpPr>
        <xdr:spPr>
          <a:xfrm>
            <a:off x="3434196" y="274999"/>
            <a:ext cx="915451" cy="344126"/>
          </a:xfrm>
          <a:prstGeom prst="rect">
            <a:avLst/>
          </a:prstGeom>
          <a:solidFill>
            <a:srgbClr val="0070C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bg1"/>
                </a:solidFill>
                <a:latin typeface="Arial" panose="020B0604020202020204" pitchFamily="34" charset="0"/>
                <a:cs typeface="Arial" panose="020B0604020202020204" pitchFamily="34" charset="0"/>
              </a:rPr>
              <a:t>Dashboard</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3209925</xdr:colOff>
      <xdr:row>0</xdr:row>
      <xdr:rowOff>57150</xdr:rowOff>
    </xdr:from>
    <xdr:to>
      <xdr:col>5</xdr:col>
      <xdr:colOff>520867</xdr:colOff>
      <xdr:row>2</xdr:row>
      <xdr:rowOff>4331</xdr:rowOff>
    </xdr:to>
    <xdr:grpSp>
      <xdr:nvGrpSpPr>
        <xdr:cNvPr id="5" name="Group 4">
          <a:extLst>
            <a:ext uri="{FF2B5EF4-FFF2-40B4-BE49-F238E27FC236}">
              <a16:creationId xmlns:a16="http://schemas.microsoft.com/office/drawing/2014/main" id="{F2B9312A-2310-436A-A743-7D2228C690FF}"/>
            </a:ext>
          </a:extLst>
        </xdr:cNvPr>
        <xdr:cNvGrpSpPr/>
      </xdr:nvGrpSpPr>
      <xdr:grpSpPr>
        <a:xfrm>
          <a:off x="7429500" y="57150"/>
          <a:ext cx="1311442" cy="394856"/>
          <a:chOff x="3434196" y="224269"/>
          <a:chExt cx="1311442" cy="394856"/>
        </a:xfrm>
      </xdr:grpSpPr>
      <xdr:sp macro="" textlink="">
        <xdr:nvSpPr>
          <xdr:cNvPr id="6" name="Arrow: Bent-Up 5">
            <a:extLst>
              <a:ext uri="{FF2B5EF4-FFF2-40B4-BE49-F238E27FC236}">
                <a16:creationId xmlns:a16="http://schemas.microsoft.com/office/drawing/2014/main" id="{0D840A5F-72A3-4BA2-8535-9BEB953F777D}"/>
              </a:ext>
            </a:extLst>
          </xdr:cNvPr>
          <xdr:cNvSpPr/>
        </xdr:nvSpPr>
        <xdr:spPr>
          <a:xfrm>
            <a:off x="4288438" y="224269"/>
            <a:ext cx="457200" cy="274320"/>
          </a:xfrm>
          <a:prstGeom prst="bentUpArrow">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hlinkClick xmlns:r="http://schemas.openxmlformats.org/officeDocument/2006/relationships" r:id="rId1"/>
            <a:extLst>
              <a:ext uri="{FF2B5EF4-FFF2-40B4-BE49-F238E27FC236}">
                <a16:creationId xmlns:a16="http://schemas.microsoft.com/office/drawing/2014/main" id="{FF23A521-3B22-4AE9-ACDD-5957B4BBBC00}"/>
              </a:ext>
            </a:extLst>
          </xdr:cNvPr>
          <xdr:cNvSpPr txBox="1"/>
        </xdr:nvSpPr>
        <xdr:spPr>
          <a:xfrm>
            <a:off x="3434196" y="274999"/>
            <a:ext cx="915451" cy="344126"/>
          </a:xfrm>
          <a:prstGeom prst="rect">
            <a:avLst/>
          </a:prstGeom>
          <a:solidFill>
            <a:srgbClr val="0070C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chemeClr val="bg1"/>
                </a:solidFill>
                <a:latin typeface="Arial" panose="020B0604020202020204" pitchFamily="34" charset="0"/>
                <a:cs typeface="Arial" panose="020B0604020202020204" pitchFamily="34" charset="0"/>
              </a:rPr>
              <a:t>Dashboard</a:t>
            </a: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8.479189699072" backgroundQuery="1" createdVersion="8" refreshedVersion="7" minRefreshableVersion="3" recordCount="0" supportSubquery="1" supportAdvancedDrill="1" xr:uid="{8B5353C4-44EB-424F-860E-7B1E6B56EEE8}">
  <cacheSource type="external" connectionId="1"/>
  <cacheFields count="3">
    <cacheField name="[Range].[Date].[Date]" caption="Date" numFmtId="0" level="1">
      <sharedItems containsSemiMixedTypes="0" containsNonDate="0" containsDate="1" containsString="0" minDate="2026-04-01T00:00:00" maxDate="2026-04-18T00:00:00" count="17">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sharedItems>
    </cacheField>
    <cacheField name="[Measures].[Sum of Amount]" caption="Sum of Amount" numFmtId="0" hierarchy="9" level="32767"/>
    <cacheField name="[Range].[Date 2].[Date 2]" caption="Date 2" numFmtId="0" hierarchy="1" level="1">
      <sharedItems count="17">
        <s v="01-April"/>
        <s v="02-April"/>
        <s v="03-April"/>
        <s v="04-April"/>
        <s v="05-April"/>
        <s v="06-April"/>
        <s v="07-April"/>
        <s v="08-April"/>
        <s v="09-April"/>
        <s v="10-April"/>
        <s v="11-April"/>
        <s v="12-April"/>
        <s v="13-April"/>
        <s v="14-April"/>
        <s v="15-April"/>
        <s v="16-April"/>
        <s v="17-April"/>
      </sharedItems>
    </cacheField>
  </cacheFields>
  <cacheHierarchies count="14">
    <cacheHierarchy uniqueName="[Range].[Date]" caption="Date" attribute="1" time="1" defaultMemberUniqueName="[Range].[Date].[All]" allUniqueName="[Range].[Date].[All]" dimensionUniqueName="[Range]" displayFolder="" count="2" memberValueDatatype="7" unbalanced="0">
      <fieldsUsage count="2">
        <fieldUsage x="-1"/>
        <fieldUsage x="0"/>
      </fieldsUsage>
    </cacheHierarchy>
    <cacheHierarchy uniqueName="[Range].[Date 2]" caption="Date 2" attribute="1" defaultMemberUniqueName="[Range].[Date 2].[All]" allUniqueName="[Range].[Date 2].[All]" dimensionUniqueName="[Range]" displayFolder="" count="2" memberValueDatatype="130" unbalanced="0">
      <fieldsUsage count="2">
        <fieldUsage x="-1"/>
        <fieldUsage x="2"/>
      </fieldsUsage>
    </cacheHierarchy>
    <cacheHierarchy uniqueName="[Range].[Description]" caption="Description" attribute="1" defaultMemberUniqueName="[Range].[Description].[All]" allUniqueName="[Range].[Description].[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Range].[Amount]" caption="Amount" attribute="1" defaultMemberUniqueName="[Range].[Amount].[All]" allUniqueName="[Range].[Amount].[All]" dimensionUniqueName="[Range]" displayFolder="" count="2" memberValueDatatype="5" unbalanced="0"/>
    <cacheHierarchy uniqueName="[Range].[Notes]" caption="Notes" attribute="1" defaultMemberUniqueName="[Range].[Notes].[All]" allUniqueName="[Range].[Notes].[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Range" count="0" hidden="1">
      <extLst>
        <ext xmlns:x15="http://schemas.microsoft.com/office/spreadsheetml/2010/11/main" uri="{B97F6D7D-B522-45F9-BDA1-12C45D357490}">
          <x15:cacheHierarchy aggregatedColumn="0"/>
        </ext>
      </extLst>
    </cacheHierarchy>
    <cacheHierarchy uniqueName="[Measures].[Count of Payment Method]" caption="Count of Payment Method"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8.479191782404" backgroundQuery="1" createdVersion="8" refreshedVersion="7" minRefreshableVersion="3" recordCount="0" supportSubquery="1" supportAdvancedDrill="1" xr:uid="{56436A07-2061-4B9A-9A80-2EEB0C15ABF4}">
  <cacheSource type="external" connectionId="1"/>
  <cacheFields count="4">
    <cacheField name="[Measures].[Sum of Amount]" caption="Sum of Amount" numFmtId="0" hierarchy="9" level="32767"/>
    <cacheField name="[Range].[Category].[Category]" caption="Category" numFmtId="0" hierarchy="3" level="1">
      <sharedItems count="8">
        <s v="Airtime/Data"/>
        <s v="Entertainment"/>
        <s v="Food"/>
        <s v="Health"/>
        <s v="Other"/>
        <s v="Shopping"/>
        <s v="Transport"/>
        <s v="Utilities"/>
      </sharedItems>
    </cacheField>
    <cacheField name="[Range].[Payment Method].[Payment Method]" caption="Payment Method" numFmtId="0" hierarchy="4" level="1">
      <sharedItems count="4">
        <s v="Bank Transfer"/>
        <s v="Card"/>
        <s v="Cash"/>
        <s v="Mobile Money"/>
      </sharedItems>
    </cacheField>
    <cacheField name="[Range].[Date 2].[Date 2]" caption="Date 2" numFmtId="0" hierarchy="1" level="1">
      <sharedItems containsSemiMixedTypes="0" containsNonDate="0" containsString="0"/>
    </cacheField>
  </cacheFields>
  <cacheHierarchies count="14">
    <cacheHierarchy uniqueName="[Range].[Date]" caption="Date" attribute="1" time="1" defaultMemberUniqueName="[Range].[Date].[All]" allUniqueName="[Range].[Date].[All]" dimensionUniqueName="[Range]" displayFolder="" count="0" memberValueDatatype="7" unbalanced="0"/>
    <cacheHierarchy uniqueName="[Range].[Date 2]" caption="Date 2" attribute="1" defaultMemberUniqueName="[Range].[Date 2].[All]" allUniqueName="[Range].[Date 2].[All]" dimensionUniqueName="[Range]" displayFolder="" count="2" memberValueDatatype="130" unbalanced="0">
      <fieldsUsage count="2">
        <fieldUsage x="-1"/>
        <fieldUsage x="3"/>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Payment Method]" caption="Payment Method" attribute="1" defaultMemberUniqueName="[Range].[Payment Method].[All]" allUniqueName="[Range].[Payment Method].[All]" dimensionUniqueName="[Range]" displayFolder="" count="2" memberValueDatatype="130" unbalanced="0">
      <fieldsUsage count="2">
        <fieldUsage x="-1"/>
        <fieldUsage x="2"/>
      </fieldsUsage>
    </cacheHierarchy>
    <cacheHierarchy uniqueName="[Range].[Amount]" caption="Amount" attribute="1" defaultMemberUniqueName="[Range].[Amount].[All]" allUniqueName="[Range].[Amount].[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Range" count="0" hidden="1">
      <extLst>
        <ext xmlns:x15="http://schemas.microsoft.com/office/spreadsheetml/2010/11/main" uri="{B97F6D7D-B522-45F9-BDA1-12C45D357490}">
          <x15:cacheHierarchy aggregatedColumn="0"/>
        </ext>
      </extLst>
    </cacheHierarchy>
    <cacheHierarchy uniqueName="[Measures].[Count of Payment Method]" caption="Count of Payment Method"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8.479194444444" backgroundQuery="1" createdVersion="8" refreshedVersion="7" minRefreshableVersion="3" recordCount="0" supportSubquery="1" supportAdvancedDrill="1" xr:uid="{BA9786ED-B822-4AD7-8690-A2FE94EB9385}">
  <cacheSource type="external" connectionId="1"/>
  <cacheFields count="3">
    <cacheField name="[Measures].[Sum of Amount]" caption="Sum of Amount" numFmtId="0" hierarchy="9" level="32767"/>
    <cacheField name="[Range].[Category].[Category]" caption="Category" numFmtId="0" hierarchy="3" level="1">
      <sharedItems count="5">
        <s v="Airtime/Data"/>
        <s v="Entertainment"/>
        <s v="Health"/>
        <s v="Shopping"/>
        <s v="Utilities"/>
      </sharedItems>
    </cacheField>
    <cacheField name="[Range].[Date 2].[Date 2]" caption="Date 2" numFmtId="0" hierarchy="1" level="1">
      <sharedItems containsSemiMixedTypes="0" containsNonDate="0" containsString="0"/>
    </cacheField>
  </cacheFields>
  <cacheHierarchies count="14">
    <cacheHierarchy uniqueName="[Range].[Date]" caption="Date" attribute="1" time="1" defaultMemberUniqueName="[Range].[Date].[All]" allUniqueName="[Range].[Date].[All]" dimensionUniqueName="[Range]" displayFolder="" count="0" memberValueDatatype="7" unbalanced="0"/>
    <cacheHierarchy uniqueName="[Range].[Date 2]" caption="Date 2" attribute="1" defaultMemberUniqueName="[Range].[Date 2].[All]" allUniqueName="[Range].[Date 2].[All]" dimensionUniqueName="[Range]" displayFolder="" count="2" memberValueDatatype="130" unbalanced="0">
      <fieldsUsage count="2">
        <fieldUsage x="-1"/>
        <fieldUsage x="2"/>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Payment Method]" caption="Payment Method" attribute="1" defaultMemberUniqueName="[Range].[Payment Method].[All]" allUniqueName="[Range].[Payment Method].[All]" dimensionUniqueName="[Range]" displayFolder="" count="2" memberValueDatatype="130" unbalanced="0"/>
    <cacheHierarchy uniqueName="[Range].[Amount]" caption="Amount" attribute="1" defaultMemberUniqueName="[Range].[Amount].[All]" allUniqueName="[Range].[Amount].[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Range" count="0" hidden="1">
      <extLst>
        <ext xmlns:x15="http://schemas.microsoft.com/office/spreadsheetml/2010/11/main" uri="{B97F6D7D-B522-45F9-BDA1-12C45D357490}">
          <x15:cacheHierarchy aggregatedColumn="0"/>
        </ext>
      </extLst>
    </cacheHierarchy>
    <cacheHierarchy uniqueName="[Measures].[Count of Payment Method]" caption="Count of Payment Method"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8.479196643515" backgroundQuery="1" createdVersion="8" refreshedVersion="7" minRefreshableVersion="3" recordCount="0" supportSubquery="1" supportAdvancedDrill="1" xr:uid="{15B1FBC1-8E91-4EDE-92C2-BA7B2BFEE038}">
  <cacheSource type="external" connectionId="1"/>
  <cacheFields count="4">
    <cacheField name="[Measures].[Sum of Amount]" caption="Sum of Amount" numFmtId="0" hierarchy="9" level="32767"/>
    <cacheField name="[Measures].[Count of Amount]" caption="Count of Amount" numFmtId="0" hierarchy="10" level="32767"/>
    <cacheField name="[Measures].[Distinct Count of Date]" caption="Distinct Count of Date" numFmtId="0" hierarchy="12" level="32767"/>
    <cacheField name="[Range].[Date 2].[Date 2]" caption="Date 2" numFmtId="0" hierarchy="1" level="1">
      <sharedItems containsSemiMixedTypes="0" containsNonDate="0" containsString="0"/>
    </cacheField>
  </cacheFields>
  <cacheHierarchies count="14">
    <cacheHierarchy uniqueName="[Range].[Date]" caption="Date" attribute="1" time="1" defaultMemberUniqueName="[Range].[Date].[All]" allUniqueName="[Range].[Date].[All]" dimensionUniqueName="[Range]" displayFolder="" count="0" memberValueDatatype="7" unbalanced="0"/>
    <cacheHierarchy uniqueName="[Range].[Date 2]" caption="Date 2" attribute="1" defaultMemberUniqueName="[Range].[Date 2].[All]" allUniqueName="[Range].[Date 2].[All]" dimensionUniqueName="[Range]" displayFolder="" count="2" memberValueDatatype="130" unbalanced="0">
      <fieldsUsage count="2">
        <fieldUsage x="-1"/>
        <fieldUsage x="3"/>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Range].[Amount]" caption="Amount" attribute="1" defaultMemberUniqueName="[Range].[Amount].[All]" allUniqueName="[Range].[Amount].[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Payment Method]" caption="Count of Payment Method"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8.479198611109" backgroundQuery="1" createdVersion="8" refreshedVersion="7" minRefreshableVersion="3" recordCount="0" supportSubquery="1" supportAdvancedDrill="1" xr:uid="{2DBC6255-867F-4F37-86CD-D144ACE0E4EF}">
  <cacheSource type="external" connectionId="1"/>
  <cacheFields count="4">
    <cacheField name="[Measures].[Sum of Amount]" caption="Sum of Amount" numFmtId="0" hierarchy="9" level="32767"/>
    <cacheField name="[Range].[Category].[Category]" caption="Category" numFmtId="0" hierarchy="3" level="1">
      <sharedItems count="8">
        <s v="Airtime/Data"/>
        <s v="Entertainment"/>
        <s v="Food"/>
        <s v="Health"/>
        <s v="Other"/>
        <s v="Shopping"/>
        <s v="Transport"/>
        <s v="Utilities"/>
      </sharedItems>
    </cacheField>
    <cacheField name="[Range].[Date 2].[Date 2]" caption="Date 2" numFmtId="0" hierarchy="1" level="1">
      <sharedItems containsSemiMixedTypes="0" containsNonDate="0" containsString="0"/>
    </cacheField>
    <cacheField name="Dummy0" numFmtId="0" hierarchy="14" level="32767">
      <extLst>
        <ext xmlns:x14="http://schemas.microsoft.com/office/spreadsheetml/2009/9/main" uri="{63CAB8AC-B538-458d-9737-405883B0398D}">
          <x14:cacheField ignore="1"/>
        </ext>
      </extLst>
    </cacheField>
  </cacheFields>
  <cacheHierarchies count="15">
    <cacheHierarchy uniqueName="[Range].[Date]" caption="Date" attribute="1" time="1" defaultMemberUniqueName="[Range].[Date].[All]" allUniqueName="[Range].[Date].[All]" dimensionUniqueName="[Range]" displayFolder="" count="0" memberValueDatatype="7" unbalanced="0"/>
    <cacheHierarchy uniqueName="[Range].[Date 2]" caption="Date 2" attribute="1" defaultMemberUniqueName="[Range].[Date 2].[All]" allUniqueName="[Range].[Date 2].[All]" dimensionUniqueName="[Range]" displayFolder="" count="2" memberValueDatatype="130" unbalanced="0">
      <fieldsUsage count="2">
        <fieldUsage x="-1"/>
        <fieldUsage x="2"/>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Payment Method]" caption="Payment Method" attribute="1" defaultMemberUniqueName="[Range].[Payment Method].[All]" allUniqueName="[Range].[Payment Method].[All]" dimensionUniqueName="[Range]" displayFolder="" count="2" memberValueDatatype="130" unbalanced="0"/>
    <cacheHierarchy uniqueName="[Range].[Amount]" caption="Amount" attribute="1" defaultMemberUniqueName="[Range].[Amount].[All]" allUniqueName="[Range].[Amount].[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Range" count="0" hidden="1">
      <extLst>
        <ext xmlns:x15="http://schemas.microsoft.com/office/spreadsheetml/2010/11/main" uri="{B97F6D7D-B522-45F9-BDA1-12C45D357490}">
          <x15:cacheHierarchy aggregatedColumn="0"/>
        </ext>
      </extLst>
    </cacheHierarchy>
    <cacheHierarchy uniqueName="[Measures].[Count of Payment Method]" caption="Count of Payment Method" measure="1" displayFolder="" measureGroup="Range" count="0" hidden="1">
      <extLst>
        <ext xmlns:x15="http://schemas.microsoft.com/office/spreadsheetml/2010/11/main" uri="{B97F6D7D-B522-45F9-BDA1-12C45D357490}">
          <x15:cacheHierarchy aggregatedColumn="4"/>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8.47920115741" backgroundQuery="1" createdVersion="8" refreshedVersion="7" minRefreshableVersion="3" recordCount="0" supportSubquery="1" supportAdvancedDrill="1" xr:uid="{68DCC95F-ED32-4827-9B90-6F3A660FA1C5}">
  <cacheSource type="external" connectionId="1"/>
  <cacheFields count="5">
    <cacheField name="[Measures].[Sum of Amount]" caption="Sum of Amount" numFmtId="0" hierarchy="9" level="32767"/>
    <cacheField name="[Range].[Category].[Category]" caption="Category" numFmtId="0" hierarchy="3" level="1">
      <sharedItems count="8">
        <s v="Airtime/Data"/>
        <s v="Entertainment"/>
        <s v="Food"/>
        <s v="Health"/>
        <s v="Other"/>
        <s v="Shopping"/>
        <s v="Transport"/>
        <s v="Utilities"/>
      </sharedItems>
    </cacheField>
    <cacheField name="[Range].[Payment Method].[Payment Method]" caption="Payment Method" numFmtId="0" hierarchy="4" level="1">
      <sharedItems count="4">
        <s v="Bank Transfer"/>
        <s v="Card"/>
        <s v="Cash"/>
        <s v="Mobile Money"/>
      </sharedItems>
    </cacheField>
    <cacheField name="[Measures].[Count of Payment Method]" caption="Count of Payment Method" numFmtId="0" hierarchy="13" level="32767"/>
    <cacheField name="[Range].[Date 2].[Date 2]" caption="Date 2" numFmtId="0" hierarchy="1" level="1">
      <sharedItems containsSemiMixedTypes="0" containsNonDate="0" containsString="0"/>
    </cacheField>
  </cacheFields>
  <cacheHierarchies count="14">
    <cacheHierarchy uniqueName="[Range].[Date]" caption="Date" attribute="1" time="1" defaultMemberUniqueName="[Range].[Date].[All]" allUniqueName="[Range].[Date].[All]" dimensionUniqueName="[Range]" displayFolder="" count="0" memberValueDatatype="7" unbalanced="0"/>
    <cacheHierarchy uniqueName="[Range].[Date 2]" caption="Date 2" attribute="1" defaultMemberUniqueName="[Range].[Date 2].[All]" allUniqueName="[Range].[Date 2].[All]" dimensionUniqueName="[Range]" displayFolder="" count="2" memberValueDatatype="130" unbalanced="0">
      <fieldsUsage count="2">
        <fieldUsage x="-1"/>
        <fieldUsage x="4"/>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Payment Method]" caption="Payment Method" attribute="1" defaultMemberUniqueName="[Range].[Payment Method].[All]" allUniqueName="[Range].[Payment Method].[All]" dimensionUniqueName="[Range]" displayFolder="" count="2" memberValueDatatype="130" unbalanced="0">
      <fieldsUsage count="2">
        <fieldUsage x="-1"/>
        <fieldUsage x="2"/>
      </fieldsUsage>
    </cacheHierarchy>
    <cacheHierarchy uniqueName="[Range].[Amount]" caption="Amount" attribute="1" defaultMemberUniqueName="[Range].[Amount].[All]" allUniqueName="[Range].[Amount].[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Range" count="0" hidden="1">
      <extLst>
        <ext xmlns:x15="http://schemas.microsoft.com/office/spreadsheetml/2010/11/main" uri="{B97F6D7D-B522-45F9-BDA1-12C45D357490}">
          <x15:cacheHierarchy aggregatedColumn="0"/>
        </ext>
      </extLst>
    </cacheHierarchy>
    <cacheHierarchy uniqueName="[Measures].[Count of Payment Method]" caption="Count of Payment Method" measure="1" displayFolder="" measureGroup="Range"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8.479203819443" backgroundQuery="1" createdVersion="8" refreshedVersion="7" minRefreshableVersion="3" recordCount="0" supportSubquery="1" supportAdvancedDrill="1" xr:uid="{C13F8FF0-79C1-4502-AD7A-89700EF3FF92}">
  <cacheSource type="external" connectionId="1"/>
  <cacheFields count="3">
    <cacheField name="[Measures].[Sum of Amount]" caption="Sum of Amount" numFmtId="0" hierarchy="9" level="32767"/>
    <cacheField name="[Range].[Category].[Category]" caption="Category" numFmtId="0" hierarchy="3" level="1">
      <sharedItems count="5">
        <s v="Airtime/Data"/>
        <s v="Entertainment"/>
        <s v="Health"/>
        <s v="Shopping"/>
        <s v="Utilities"/>
      </sharedItems>
    </cacheField>
    <cacheField name="[Range].[Date 2].[Date 2]" caption="Date 2" numFmtId="0" hierarchy="1" level="1">
      <sharedItems containsSemiMixedTypes="0" containsNonDate="0" containsString="0"/>
    </cacheField>
  </cacheFields>
  <cacheHierarchies count="14">
    <cacheHierarchy uniqueName="[Range].[Date]" caption="Date" attribute="1" time="1" defaultMemberUniqueName="[Range].[Date].[All]" allUniqueName="[Range].[Date].[All]" dimensionUniqueName="[Range]" displayFolder="" count="0" memberValueDatatype="7" unbalanced="0"/>
    <cacheHierarchy uniqueName="[Range].[Date 2]" caption="Date 2" attribute="1" defaultMemberUniqueName="[Range].[Date 2].[All]" allUniqueName="[Range].[Date 2].[All]" dimensionUniqueName="[Range]" displayFolder="" count="2" memberValueDatatype="130" unbalanced="0">
      <fieldsUsage count="2">
        <fieldUsage x="-1"/>
        <fieldUsage x="2"/>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Payment Method]" caption="Payment Method" attribute="1" defaultMemberUniqueName="[Range].[Payment Method].[All]" allUniqueName="[Range].[Payment Method].[All]" dimensionUniqueName="[Range]" displayFolder="" count="2" memberValueDatatype="130" unbalanced="0"/>
    <cacheHierarchy uniqueName="[Range].[Amount]" caption="Amount" attribute="1" defaultMemberUniqueName="[Range].[Amount].[All]" allUniqueName="[Range].[Amount].[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Range" count="0" hidden="1">
      <extLst>
        <ext xmlns:x15="http://schemas.microsoft.com/office/spreadsheetml/2010/11/main" uri="{B97F6D7D-B522-45F9-BDA1-12C45D357490}">
          <x15:cacheHierarchy aggregatedColumn="0"/>
        </ext>
      </extLst>
    </cacheHierarchy>
    <cacheHierarchy uniqueName="[Measures].[Count of Payment Method]" caption="Count of Payment Method"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8.479206365744" backgroundQuery="1" createdVersion="8" refreshedVersion="7" minRefreshableVersion="3" recordCount="0" supportSubquery="1" supportAdvancedDrill="1" xr:uid="{80A9B4B5-6052-49EC-A44B-69DF39C0FA93}">
  <cacheSource type="external" connectionId="1"/>
  <cacheFields count="3">
    <cacheField name="[Measures].[Sum of Amount]" caption="Sum of Amount" numFmtId="0" hierarchy="9" level="32767"/>
    <cacheField name="[Range].[Category].[Category]" caption="Category" numFmtId="0" hierarchy="3" level="1">
      <sharedItems count="8">
        <s v="Airtime/Data"/>
        <s v="Entertainment"/>
        <s v="Food"/>
        <s v="Health"/>
        <s v="Other"/>
        <s v="Shopping"/>
        <s v="Transport"/>
        <s v="Utilities"/>
      </sharedItems>
    </cacheField>
    <cacheField name="[Range].[Date 2].[Date 2]" caption="Date 2" numFmtId="0" hierarchy="1" level="1">
      <sharedItems containsSemiMixedTypes="0" containsNonDate="0" containsString="0"/>
    </cacheField>
  </cacheFields>
  <cacheHierarchies count="14">
    <cacheHierarchy uniqueName="[Range].[Date]" caption="Date" attribute="1" time="1" defaultMemberUniqueName="[Range].[Date].[All]" allUniqueName="[Range].[Date].[All]" dimensionUniqueName="[Range]" displayFolder="" count="0" memberValueDatatype="7" unbalanced="0"/>
    <cacheHierarchy uniqueName="[Range].[Date 2]" caption="Date 2" attribute="1" defaultMemberUniqueName="[Range].[Date 2].[All]" allUniqueName="[Range].[Date 2].[All]" dimensionUniqueName="[Range]" displayFolder="" count="2" memberValueDatatype="130" unbalanced="0">
      <fieldsUsage count="2">
        <fieldUsage x="-1"/>
        <fieldUsage x="2"/>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Payment Method]" caption="Payment Method" attribute="1" defaultMemberUniqueName="[Range].[Payment Method].[All]" allUniqueName="[Range].[Payment Method].[All]" dimensionUniqueName="[Range]" displayFolder="" count="2" memberValueDatatype="130" unbalanced="0"/>
    <cacheHierarchy uniqueName="[Range].[Amount]" caption="Amount" attribute="1" defaultMemberUniqueName="[Range].[Amount].[All]" allUniqueName="[Range].[Amount].[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Range" count="0" hidden="1">
      <extLst>
        <ext xmlns:x15="http://schemas.microsoft.com/office/spreadsheetml/2010/11/main" uri="{B97F6D7D-B522-45F9-BDA1-12C45D357490}">
          <x15:cacheHierarchy aggregatedColumn="0"/>
        </ext>
      </extLst>
    </cacheHierarchy>
    <cacheHierarchy uniqueName="[Measures].[Count of Payment Method]" caption="Count of Payment Method"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58.4792087963" backgroundQuery="1" createdVersion="8" refreshedVersion="7" minRefreshableVersion="3" recordCount="0" supportSubquery="1" supportAdvancedDrill="1" xr:uid="{58DD03D3-704C-48C8-AC20-244B585B97DC}">
  <cacheSource type="external" connectionId="1"/>
  <cacheFields count="5">
    <cacheField name="[Measures].[Sum of Amount]" caption="Sum of Amount" numFmtId="0" hierarchy="9" level="32767"/>
    <cacheField name="[Range].[Category].[Category]" caption="Category" numFmtId="0" hierarchy="3" level="1">
      <sharedItems count="8">
        <s v="Airtime/Data"/>
        <s v="Entertainment"/>
        <s v="Food"/>
        <s v="Health"/>
        <s v="Other"/>
        <s v="Shopping"/>
        <s v="Transport"/>
        <s v="Utilities"/>
      </sharedItems>
    </cacheField>
    <cacheField name="[Range].[Payment Method].[Payment Method]" caption="Payment Method" numFmtId="0" hierarchy="4" level="1">
      <sharedItems count="4">
        <s v="Bank Transfer"/>
        <s v="Card"/>
        <s v="Cash"/>
        <s v="Mobile Money"/>
      </sharedItems>
    </cacheField>
    <cacheField name="[Measures].[Count of Payment Method]" caption="Count of Payment Method" numFmtId="0" hierarchy="13" level="32767"/>
    <cacheField name="[Range].[Date 2].[Date 2]" caption="Date 2" numFmtId="0" hierarchy="1" level="1">
      <sharedItems containsSemiMixedTypes="0" containsNonDate="0" containsString="0"/>
    </cacheField>
  </cacheFields>
  <cacheHierarchies count="14">
    <cacheHierarchy uniqueName="[Range].[Date]" caption="Date" attribute="1" time="1" defaultMemberUniqueName="[Range].[Date].[All]" allUniqueName="[Range].[Date].[All]" dimensionUniqueName="[Range]" displayFolder="" count="0" memberValueDatatype="7" unbalanced="0"/>
    <cacheHierarchy uniqueName="[Range].[Date 2]" caption="Date 2" attribute="1" defaultMemberUniqueName="[Range].[Date 2].[All]" allUniqueName="[Range].[Date 2].[All]" dimensionUniqueName="[Range]" displayFolder="" count="2" memberValueDatatype="130" unbalanced="0">
      <fieldsUsage count="2">
        <fieldUsage x="-1"/>
        <fieldUsage x="4"/>
      </fieldsUsage>
    </cacheHierarchy>
    <cacheHierarchy uniqueName="[Range].[Description]" caption="Description" attribute="1" defaultMemberUniqueName="[Range].[Description].[All]" allUniqueName="[Range].[Description].[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Payment Method]" caption="Payment Method" attribute="1" defaultMemberUniqueName="[Range].[Payment Method].[All]" allUniqueName="[Range].[Payment Method].[All]" dimensionUniqueName="[Range]" displayFolder="" count="2" memberValueDatatype="130" unbalanced="0">
      <fieldsUsage count="2">
        <fieldUsage x="-1"/>
        <fieldUsage x="2"/>
      </fieldsUsage>
    </cacheHierarchy>
    <cacheHierarchy uniqueName="[Range].[Amount]" caption="Amount" attribute="1" defaultMemberUniqueName="[Range].[Amount].[All]" allUniqueName="[Range].[Amount].[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Range" count="0" hidden="1">
      <extLst>
        <ext xmlns:x15="http://schemas.microsoft.com/office/spreadsheetml/2010/11/main" uri="{B97F6D7D-B522-45F9-BDA1-12C45D357490}">
          <x15:cacheHierarchy aggregatedColumn="0"/>
        </ext>
      </extLst>
    </cacheHierarchy>
    <cacheHierarchy uniqueName="[Measures].[Count of Payment Method]" caption="Count of Payment Method" measure="1" displayFolder="" measureGroup="Range"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Islam" refreshedDate="46156.93523599537" backgroundQuery="1" createdVersion="3" refreshedVersion="8" minRefreshableVersion="3" recordCount="0" supportSubquery="1" supportAdvancedDrill="1" xr:uid="{346FD471-6559-4E01-B94C-AA357D7C0410}">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Range].[Date]" caption="Date" attribute="1" time="1" defaultMemberUniqueName="[Range].[Date].[All]" allUniqueName="[Range].[Date].[All]" dimensionUniqueName="[Range]" displayFolder="" count="0" memberValueDatatype="7" unbalanced="0"/>
    <cacheHierarchy uniqueName="[Range].[Date 2]" caption="Date 2" attribute="1" defaultMemberUniqueName="[Range].[Date 2].[All]" allUniqueName="[Range].[Date 2].[All]" dimensionUniqueName="[Range]" displayFolder="" count="0"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2" memberValueDatatype="130" unbalanced="0"/>
    <cacheHierarchy uniqueName="[Range].[Amount]" caption="Amount" attribute="1" defaultMemberUniqueName="[Range].[Amount].[All]" allUniqueName="[Range].[Amount].[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Range" count="0" hidden="1">
      <extLst>
        <ext xmlns:x15="http://schemas.microsoft.com/office/spreadsheetml/2010/11/main" uri="{B97F6D7D-B522-45F9-BDA1-12C45D357490}">
          <x15:cacheHierarchy aggregatedColumn="0"/>
        </ext>
      </extLst>
    </cacheHierarchy>
    <cacheHierarchy uniqueName="[Measures].[Count of Payment Method]" caption="Count of Payment Method" measure="1" displayFolder="" measureGroup="Rang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458998600"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ita Islam" refreshedDate="46156.935479050924" backgroundQuery="1" createdVersion="3" refreshedVersion="8" minRefreshableVersion="3" recordCount="0" supportSubquery="1" supportAdvancedDrill="1" xr:uid="{96C2B2BA-7828-4005-A4A2-F8C2DB80AF52}">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Range].[Date]" caption="Date" attribute="1" time="1" defaultMemberUniqueName="[Range].[Date].[All]" allUniqueName="[Range].[Date].[All]" dimensionUniqueName="[Range]" displayFolder="" count="0" memberValueDatatype="7" unbalanced="0"/>
    <cacheHierarchy uniqueName="[Range].[Date 2]" caption="Date 2" attribute="1" defaultMemberUniqueName="[Range].[Date 2].[All]" allUniqueName="[Range].[Date 2].[All]" dimensionUniqueName="[Range]" displayFolder="" count="2" memberValueDatatype="130" unbalanced="0"/>
    <cacheHierarchy uniqueName="[Range].[Description]" caption="Description" attribute="1" defaultMemberUniqueName="[Range].[Description].[All]" allUniqueName="[Range].[Description].[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Amount]" caption="Amount" attribute="1" defaultMemberUniqueName="[Range].[Amount].[All]" allUniqueName="[Range].[Amount].[All]" dimensionUniqueName="[Range]" displayFolder="" count="0" memberValueDatatype="5" unbalanced="0"/>
    <cacheHierarchy uniqueName="[Range].[Notes]" caption="Notes" attribute="1" defaultMemberUniqueName="[Range].[Notes].[All]" allUniqueName="[Range].[Note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mount]" caption="Sum of Amount" measure="1" displayFolder="" measureGroup="Range" count="0" hidden="1">
      <extLst>
        <ext xmlns:x15="http://schemas.microsoft.com/office/spreadsheetml/2010/11/main" uri="{B97F6D7D-B522-45F9-BDA1-12C45D357490}">
          <x15:cacheHierarchy aggregatedColumn="5"/>
        </ext>
      </extLst>
    </cacheHierarchy>
    <cacheHierarchy uniqueName="[Measures].[Count of Amount]" caption="Count of Amount" measure="1" displayFolder="" measureGroup="Range" count="0" hidden="1">
      <extLst>
        <ext xmlns:x15="http://schemas.microsoft.com/office/spreadsheetml/2010/11/main" uri="{B97F6D7D-B522-45F9-BDA1-12C45D357490}">
          <x15:cacheHierarchy aggregatedColumn="5"/>
        </ext>
      </extLst>
    </cacheHierarchy>
    <cacheHierarchy uniqueName="[Measures].[Count of Date]" caption="Count of Date" measure="1" displayFolder="" measureGroup="Range" count="0" hidden="1">
      <extLst>
        <ext xmlns:x15="http://schemas.microsoft.com/office/spreadsheetml/2010/11/main" uri="{B97F6D7D-B522-45F9-BDA1-12C45D357490}">
          <x15:cacheHierarchy aggregatedColumn="0"/>
        </ext>
      </extLst>
    </cacheHierarchy>
    <cacheHierarchy uniqueName="[Measures].[Distinct Count of Date]" caption="Distinct Count of Date" measure="1" displayFolder="" measureGroup="Range" count="0" hidden="1">
      <extLst>
        <ext xmlns:x15="http://schemas.microsoft.com/office/spreadsheetml/2010/11/main" uri="{B97F6D7D-B522-45F9-BDA1-12C45D357490}">
          <x15:cacheHierarchy aggregatedColumn="0"/>
        </ext>
      </extLst>
    </cacheHierarchy>
    <cacheHierarchy uniqueName="[Measures].[Count of Payment Method]" caption="Count of Payment Method" measure="1" displayFolder="" measureGroup="Rang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420022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CB9062-2B95-4960-81D8-EE44503B42AB}" name="PivotTable9" cacheId="2160" applyNumberFormats="0" applyBorderFormats="0" applyFontFormats="0" applyPatternFormats="0" applyAlignmentFormats="0" applyWidthHeightFormats="1" dataCaption="Values" grandTotalCaption=" Total" updatedVersion="7" minRefreshableVersion="3" useAutoFormatting="1" subtotalHiddenItems="1" itemPrintTitles="1" createdVersion="8" indent="0" outline="1" outlineData="1" multipleFieldFilters="0" chartFormat="47" rowHeaderCaption="Payment _x000a_Method">
  <location ref="U19:W24" firstHeaderRow="0" firstDataRow="1" firstDataCol="1"/>
  <pivotFields count="5">
    <pivotField dataField="1" subtotalTop="0" showAll="0" defaultSubtotal="0"/>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5">
    <i>
      <x v="2"/>
    </i>
    <i>
      <x v="1"/>
    </i>
    <i>
      <x v="3"/>
    </i>
    <i>
      <x/>
    </i>
    <i t="grand">
      <x/>
    </i>
  </rowItems>
  <colFields count="1">
    <field x="-2"/>
  </colFields>
  <colItems count="2">
    <i>
      <x/>
    </i>
    <i i="1">
      <x v="1"/>
    </i>
  </colItems>
  <dataFields count="2">
    <dataField name="Amount (BDT)" fld="0" baseField="0" baseItem="0" numFmtId="168"/>
    <dataField name="% of Total" fld="3" subtotal="count" showDataAs="percentOfTotal" baseField="0" baseItem="0" numFmtId="9"/>
  </dataFields>
  <formats count="31">
    <format dxfId="1246">
      <pivotArea outline="0" collapsedLevelsAreSubtotals="1" fieldPosition="0">
        <references count="1">
          <reference field="4294967294" count="1" selected="0">
            <x v="1"/>
          </reference>
        </references>
      </pivotArea>
    </format>
    <format dxfId="1247">
      <pivotArea collapsedLevelsAreSubtotals="1" fieldPosition="0">
        <references count="2">
          <reference field="4294967294" count="1" selected="0">
            <x v="0"/>
          </reference>
          <reference field="2" count="0"/>
        </references>
      </pivotArea>
    </format>
    <format dxfId="1248">
      <pivotArea type="all" dataOnly="0" outline="0" fieldPosition="0"/>
    </format>
    <format dxfId="1249">
      <pivotArea outline="0" collapsedLevelsAreSubtotals="1" fieldPosition="0"/>
    </format>
    <format dxfId="1250">
      <pivotArea field="2" type="button" dataOnly="0" labelOnly="1" outline="0" axis="axisRow" fieldPosition="0"/>
    </format>
    <format dxfId="1251">
      <pivotArea dataOnly="0" labelOnly="1" fieldPosition="0">
        <references count="1">
          <reference field="2" count="0"/>
        </references>
      </pivotArea>
    </format>
    <format dxfId="1252">
      <pivotArea dataOnly="0" labelOnly="1" grandRow="1" outline="0" fieldPosition="0"/>
    </format>
    <format dxfId="1253">
      <pivotArea dataOnly="0" labelOnly="1" outline="0" fieldPosition="0">
        <references count="1">
          <reference field="4294967294" count="2">
            <x v="0"/>
            <x v="1"/>
          </reference>
        </references>
      </pivotArea>
    </format>
    <format dxfId="1254">
      <pivotArea field="2" type="button" dataOnly="0" labelOnly="1" outline="0" axis="axisRow" fieldPosition="0"/>
    </format>
    <format dxfId="1255">
      <pivotArea field="2" type="button" dataOnly="0" labelOnly="1" outline="0" axis="axisRow" fieldPosition="0"/>
    </format>
    <format dxfId="1256">
      <pivotArea dataOnly="0" labelOnly="1" fieldPosition="0">
        <references count="1">
          <reference field="2" count="0"/>
        </references>
      </pivotArea>
    </format>
    <format dxfId="1257">
      <pivotArea dataOnly="0" labelOnly="1" outline="0" fieldPosition="0">
        <references count="1">
          <reference field="4294967294" count="1">
            <x v="0"/>
          </reference>
        </references>
      </pivotArea>
    </format>
    <format dxfId="1258">
      <pivotArea field="2" grandRow="1" outline="0" collapsedLevelsAreSubtotals="1" axis="axisRow" fieldPosition="0">
        <references count="1">
          <reference field="4294967294" count="1" selected="0">
            <x v="0"/>
          </reference>
        </references>
      </pivotArea>
    </format>
    <format dxfId="1259">
      <pivotArea dataOnly="0" labelOnly="1" outline="0" fieldPosition="0">
        <references count="1">
          <reference field="4294967294" count="1">
            <x v="1"/>
          </reference>
        </references>
      </pivotArea>
    </format>
    <format dxfId="1260">
      <pivotArea dataOnly="0" labelOnly="1" fieldPosition="0">
        <references count="1">
          <reference field="2" count="1">
            <x v="2"/>
          </reference>
        </references>
      </pivotArea>
    </format>
    <format dxfId="1261">
      <pivotArea dataOnly="0" labelOnly="1" fieldPosition="0">
        <references count="1">
          <reference field="2" count="1">
            <x v="2"/>
          </reference>
        </references>
      </pivotArea>
    </format>
    <format dxfId="1262">
      <pivotArea dataOnly="0" labelOnly="1" fieldPosition="0">
        <references count="1">
          <reference field="2" count="1">
            <x v="1"/>
          </reference>
        </references>
      </pivotArea>
    </format>
    <format dxfId="1263">
      <pivotArea dataOnly="0" labelOnly="1" fieldPosition="0">
        <references count="1">
          <reference field="2" count="1">
            <x v="3"/>
          </reference>
        </references>
      </pivotArea>
    </format>
    <format dxfId="1264">
      <pivotArea dataOnly="0" labelOnly="1" fieldPosition="0">
        <references count="1">
          <reference field="2" count="1">
            <x v="0"/>
          </reference>
        </references>
      </pivotArea>
    </format>
    <format dxfId="1265">
      <pivotArea dataOnly="0" labelOnly="1" fieldPosition="0">
        <references count="1">
          <reference field="2" count="0"/>
        </references>
      </pivotArea>
    </format>
    <format dxfId="1266">
      <pivotArea field="2" type="button" dataOnly="0" labelOnly="1" outline="0" axis="axisRow" fieldPosition="0"/>
    </format>
    <format dxfId="1267">
      <pivotArea dataOnly="0" labelOnly="1" fieldPosition="0">
        <references count="1">
          <reference field="2" count="0"/>
        </references>
      </pivotArea>
    </format>
    <format dxfId="1268">
      <pivotArea dataOnly="0" labelOnly="1" grandRow="1" outline="0" fieldPosition="0"/>
    </format>
    <format dxfId="1269">
      <pivotArea type="all" dataOnly="0" outline="0" fieldPosition="0"/>
    </format>
    <format dxfId="1270">
      <pivotArea outline="0" collapsedLevelsAreSubtotals="1" fieldPosition="0"/>
    </format>
    <format dxfId="1271">
      <pivotArea field="2" type="button" dataOnly="0" labelOnly="1" outline="0" axis="axisRow" fieldPosition="0"/>
    </format>
    <format dxfId="1272">
      <pivotArea dataOnly="0" labelOnly="1" fieldPosition="0">
        <references count="1">
          <reference field="2" count="0"/>
        </references>
      </pivotArea>
    </format>
    <format dxfId="1273">
      <pivotArea dataOnly="0" labelOnly="1" grandRow="1" outline="0" fieldPosition="0"/>
    </format>
    <format dxfId="1274">
      <pivotArea dataOnly="0" labelOnly="1" outline="0" fieldPosition="0">
        <references count="1">
          <reference field="4294967294" count="2">
            <x v="0"/>
            <x v="1"/>
          </reference>
        </references>
      </pivotArea>
    </format>
    <format dxfId="1275">
      <pivotArea outline="0" collapsedLevelsAreSubtotals="1" fieldPosition="0">
        <references count="1">
          <reference field="4294967294" count="1" selected="0">
            <x v="0"/>
          </reference>
        </references>
      </pivotArea>
    </format>
    <format dxfId="1276">
      <pivotArea outline="0" collapsedLevelsAreSubtotals="1" fieldPosition="0">
        <references count="1">
          <reference field="4294967294" count="1" selected="0">
            <x v="0"/>
          </reference>
        </references>
      </pivotArea>
    </format>
  </formats>
  <chartFormats count="41">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1" format="2">
      <pivotArea type="data" outline="0" fieldPosition="0">
        <references count="2">
          <reference field="4294967294" count="1" selected="0">
            <x v="1"/>
          </reference>
          <reference field="2" count="1" selected="0">
            <x v="2"/>
          </reference>
        </references>
      </pivotArea>
    </chartFormat>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38" format="8" series="1">
      <pivotArea type="data" outline="0" fieldPosition="0">
        <references count="1">
          <reference field="4294967294" count="1" selected="0">
            <x v="0"/>
          </reference>
        </references>
      </pivotArea>
    </chartFormat>
    <chartFormat chart="38" format="9">
      <pivotArea type="data" outline="0" fieldPosition="0">
        <references count="2">
          <reference field="4294967294" count="1" selected="0">
            <x v="0"/>
          </reference>
          <reference field="2" count="1" selected="0">
            <x v="2"/>
          </reference>
        </references>
      </pivotArea>
    </chartFormat>
    <chartFormat chart="38" format="10">
      <pivotArea type="data" outline="0" fieldPosition="0">
        <references count="2">
          <reference field="4294967294" count="1" selected="0">
            <x v="0"/>
          </reference>
          <reference field="2" count="1" selected="0">
            <x v="1"/>
          </reference>
        </references>
      </pivotArea>
    </chartFormat>
    <chartFormat chart="38" format="11">
      <pivotArea type="data" outline="0" fieldPosition="0">
        <references count="2">
          <reference field="4294967294" count="1" selected="0">
            <x v="0"/>
          </reference>
          <reference field="2" count="1" selected="0">
            <x v="3"/>
          </reference>
        </references>
      </pivotArea>
    </chartFormat>
    <chartFormat chart="38" format="12">
      <pivotArea type="data" outline="0" fieldPosition="0">
        <references count="2">
          <reference field="4294967294" count="1" selected="0">
            <x v="0"/>
          </reference>
          <reference field="2" count="1" selected="0">
            <x v="0"/>
          </reference>
        </references>
      </pivotArea>
    </chartFormat>
    <chartFormat chart="38" format="13" series="1">
      <pivotArea type="data" outline="0" fieldPosition="0">
        <references count="1">
          <reference field="4294967294" count="1" selected="0">
            <x v="1"/>
          </reference>
        </references>
      </pivotArea>
    </chartFormat>
    <chartFormat chart="38" format="14">
      <pivotArea type="data" outline="0" fieldPosition="0">
        <references count="2">
          <reference field="4294967294" count="1" selected="0">
            <x v="1"/>
          </reference>
          <reference field="2" count="1" selected="0">
            <x v="2"/>
          </reference>
        </references>
      </pivotArea>
    </chartFormat>
    <chartFormat chart="38" format="15">
      <pivotArea type="data" outline="0" fieldPosition="0">
        <references count="2">
          <reference field="4294967294" count="1" selected="0">
            <x v="1"/>
          </reference>
          <reference field="2" count="1" selected="0">
            <x v="1"/>
          </reference>
        </references>
      </pivotArea>
    </chartFormat>
    <chartFormat chart="38" format="16">
      <pivotArea type="data" outline="0" fieldPosition="0">
        <references count="2">
          <reference field="4294967294" count="1" selected="0">
            <x v="1"/>
          </reference>
          <reference field="2" count="1" selected="0">
            <x v="3"/>
          </reference>
        </references>
      </pivotArea>
    </chartFormat>
    <chartFormat chart="38" format="17">
      <pivotArea type="data" outline="0" fieldPosition="0">
        <references count="2">
          <reference field="4294967294" count="1" selected="0">
            <x v="1"/>
          </reference>
          <reference field="2" count="1" selected="0">
            <x v="0"/>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2" count="1" selected="0">
            <x v="2"/>
          </reference>
        </references>
      </pivotArea>
    </chartFormat>
    <chartFormat chart="45" format="4">
      <pivotArea type="data" outline="0" fieldPosition="0">
        <references count="2">
          <reference field="4294967294" count="1" selected="0">
            <x v="0"/>
          </reference>
          <reference field="2" count="1" selected="0">
            <x v="1"/>
          </reference>
        </references>
      </pivotArea>
    </chartFormat>
    <chartFormat chart="45" format="5">
      <pivotArea type="data" outline="0" fieldPosition="0">
        <references count="2">
          <reference field="4294967294" count="1" selected="0">
            <x v="0"/>
          </reference>
          <reference field="2" count="1" selected="0">
            <x v="3"/>
          </reference>
        </references>
      </pivotArea>
    </chartFormat>
    <chartFormat chart="45" format="6">
      <pivotArea type="data" outline="0" fieldPosition="0">
        <references count="2">
          <reference field="4294967294" count="1" selected="0">
            <x v="0"/>
          </reference>
          <reference field="2" count="1" selected="0">
            <x v="0"/>
          </reference>
        </references>
      </pivotArea>
    </chartFormat>
    <chartFormat chart="45" format="7" series="1">
      <pivotArea type="data" outline="0" fieldPosition="0">
        <references count="1">
          <reference field="4294967294" count="1" selected="0">
            <x v="1"/>
          </reference>
        </references>
      </pivotArea>
    </chartFormat>
    <chartFormat chart="46" format="8" series="1">
      <pivotArea type="data" outline="0" fieldPosition="0">
        <references count="1">
          <reference field="4294967294" count="1" selected="0">
            <x v="0"/>
          </reference>
        </references>
      </pivotArea>
    </chartFormat>
    <chartFormat chart="46" format="9">
      <pivotArea type="data" outline="0" fieldPosition="0">
        <references count="2">
          <reference field="4294967294" count="1" selected="0">
            <x v="0"/>
          </reference>
          <reference field="2" count="1" selected="0">
            <x v="2"/>
          </reference>
        </references>
      </pivotArea>
    </chartFormat>
    <chartFormat chart="46" format="10">
      <pivotArea type="data" outline="0" fieldPosition="0">
        <references count="2">
          <reference field="4294967294" count="1" selected="0">
            <x v="0"/>
          </reference>
          <reference field="2" count="1" selected="0">
            <x v="1"/>
          </reference>
        </references>
      </pivotArea>
    </chartFormat>
    <chartFormat chart="46" format="11">
      <pivotArea type="data" outline="0" fieldPosition="0">
        <references count="2">
          <reference field="4294967294" count="1" selected="0">
            <x v="0"/>
          </reference>
          <reference field="2" count="1" selected="0">
            <x v="3"/>
          </reference>
        </references>
      </pivotArea>
    </chartFormat>
    <chartFormat chart="46" format="12">
      <pivotArea type="data" outline="0" fieldPosition="0">
        <references count="2">
          <reference field="4294967294" count="1" selected="0">
            <x v="0"/>
          </reference>
          <reference field="2" count="1" selected="0">
            <x v="0"/>
          </reference>
        </references>
      </pivotArea>
    </chartFormat>
    <chartFormat chart="46" format="13" series="1">
      <pivotArea type="data" outline="0" fieldPosition="0">
        <references count="1">
          <reference field="4294967294" count="1" selected="0">
            <x v="1"/>
          </reference>
        </references>
      </pivotArea>
    </chartFormat>
    <chartFormat chart="46" format="14">
      <pivotArea type="data" outline="0" fieldPosition="0">
        <references count="2">
          <reference field="4294967294" count="1" selected="0">
            <x v="1"/>
          </reference>
          <reference field="2" count="1" selected="0">
            <x v="2"/>
          </reference>
        </references>
      </pivotArea>
    </chartFormat>
    <chartFormat chart="46" format="15">
      <pivotArea type="data" outline="0" fieldPosition="0">
        <references count="2">
          <reference field="4294967294" count="1" selected="0">
            <x v="1"/>
          </reference>
          <reference field="2" count="1" selected="0">
            <x v="1"/>
          </reference>
        </references>
      </pivotArea>
    </chartFormat>
    <chartFormat chart="46" format="16">
      <pivotArea type="data" outline="0" fieldPosition="0">
        <references count="2">
          <reference field="4294967294" count="1" selected="0">
            <x v="1"/>
          </reference>
          <reference field="2" count="1" selected="0">
            <x v="3"/>
          </reference>
        </references>
      </pivotArea>
    </chartFormat>
    <chartFormat chart="46" format="17">
      <pivotArea type="data" outline="0" fieldPosition="0">
        <references count="2">
          <reference field="4294967294" count="1" selected="0">
            <x v="1"/>
          </reference>
          <reference field="2" count="1" selected="0">
            <x v="0"/>
          </reference>
        </references>
      </pivotArea>
    </chartFormat>
  </chartFormats>
  <pivotHierarchies count="14">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Amount (BDT)"/>
    <pivotHierarchy dragToData="1" caption="Count of Amount2"/>
    <pivotHierarchy dragToData="1"/>
    <pivotHierarchy dragToData="1" caption="Distinct Count of Date"/>
    <pivotHierarchy dragToData="1" caption="% of Total"/>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A$1:$F$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B0643B-EC15-4171-93D5-A44973C4AB87}" name="PivotTable3" cacheId="2145" applyNumberFormats="0" applyBorderFormats="0" applyFontFormats="0" applyPatternFormats="0" applyAlignmentFormats="0" applyWidthHeightFormats="1" dataCaption="Values" updatedVersion="7" minRefreshableVersion="3" useAutoFormatting="1" subtotalHiddenItems="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Amount" fld="0" baseField="0" baseItem="0" numFmtId="165"/>
    <dataField name="Count of Amount2" fld="1" subtotal="count" baseField="0" baseItem="1"/>
    <dataField name="Distinct Count of Date" fld="2" subtotal="count" baseField="0" baseItem="1">
      <extLst>
        <ext xmlns:x15="http://schemas.microsoft.com/office/spreadsheetml/2010/11/main" uri="{FABC7310-3BB5-11E1-824E-6D434824019B}">
          <x15:dataField isCountDistinct="1"/>
        </ext>
      </extLst>
    </dataField>
  </dataFields>
  <formats count="4">
    <format dxfId="1348">
      <pivotArea outline="0" collapsedLevelsAreSubtotals="1" fieldPosition="0"/>
    </format>
    <format dxfId="1349">
      <pivotArea outline="0" collapsedLevelsAreSubtotals="1" fieldPosition="0">
        <references count="1">
          <reference field="4294967294" count="1" selected="0">
            <x v="0"/>
          </reference>
        </references>
      </pivotArea>
    </format>
    <format dxfId="1350">
      <pivotArea outline="0" collapsedLevelsAreSubtotals="1" fieldPosition="0">
        <references count="1">
          <reference field="4294967294" count="1" selected="0">
            <x v="0"/>
          </reference>
        </references>
      </pivotArea>
    </format>
    <format dxfId="1351">
      <pivotArea dataOnly="0" labelOnly="1" outline="0" fieldPosition="0">
        <references count="1">
          <reference field="4294967294" count="1">
            <x v="0"/>
          </reference>
        </references>
      </pivotArea>
    </format>
  </formats>
  <pivotHierarchies count="14">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Count of Amount2"/>
    <pivotHierarchy dragToData="1"/>
    <pivotHierarchy dragToData="1" caption="Distinct Count of Dat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A$1:$F$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550879-5C17-44C1-A759-DC0F9F84BA34}" name="PivotTable1" cacheId="2139" applyNumberFormats="0" applyBorderFormats="0" applyFontFormats="0" applyPatternFormats="0" applyAlignmentFormats="0" applyWidthHeightFormats="1" dataCaption="Values" updatedVersion="7" minRefreshableVersion="3" useAutoFormatting="1" subtotalHiddenItems="1" itemPrintTitles="1" createdVersion="8" indent="0" outline="1" outlineData="1" multipleFieldFilters="0" chartFormat="58">
  <location ref="E8:F13" firstHeaderRow="1" firstDataRow="1" firstDataCol="1"/>
  <pivotFields count="4">
    <pivotField dataField="1" subtotalTop="0" showAll="0" defaultSubtotal="0"/>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2"/>
    </i>
    <i>
      <x v="1"/>
    </i>
    <i>
      <x/>
    </i>
    <i>
      <x v="3"/>
    </i>
    <i t="grand">
      <x/>
    </i>
  </rowItems>
  <colItems count="1">
    <i/>
  </colItems>
  <dataFields count="1">
    <dataField name="Sum of Amount" fld="0" baseField="0" baseItem="0" numFmtId="1"/>
  </dataFields>
  <formats count="3">
    <format dxfId="1415">
      <pivotArea outline="0" collapsedLevelsAreSubtotals="1" fieldPosition="0">
        <references count="1">
          <reference field="4294967294" count="1" selected="0">
            <x v="0"/>
          </reference>
        </references>
      </pivotArea>
    </format>
    <format dxfId="1416">
      <pivotArea collapsedLevelsAreSubtotals="1" fieldPosition="0">
        <references count="2">
          <reference field="4294967294" count="1" selected="0">
            <x v="0"/>
          </reference>
          <reference field="2" count="0"/>
        </references>
      </pivotArea>
    </format>
    <format dxfId="1417">
      <pivotArea field="2" grandRow="1" outline="0" collapsedLevelsAreSubtotals="1" axis="axisRow" fieldPosition="0">
        <references count="1">
          <reference field="4294967294" count="1" selected="0">
            <x v="0"/>
          </reference>
        </references>
      </pivotArea>
    </format>
  </formats>
  <chartFormats count="27">
    <chartFormat chart="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8" series="1">
      <pivotArea type="data" outline="0" fieldPosition="0">
        <references count="1">
          <reference field="4294967294" count="1" selected="0">
            <x v="0"/>
          </reference>
        </references>
      </pivotArea>
    </chartFormat>
    <chartFormat chart="38" format="9">
      <pivotArea type="data" outline="0" fieldPosition="0">
        <references count="2">
          <reference field="4294967294" count="1" selected="0">
            <x v="0"/>
          </reference>
          <reference field="2" count="1" selected="0">
            <x v="2"/>
          </reference>
        </references>
      </pivotArea>
    </chartFormat>
    <chartFormat chart="38" format="10">
      <pivotArea type="data" outline="0" fieldPosition="0">
        <references count="2">
          <reference field="4294967294" count="1" selected="0">
            <x v="0"/>
          </reference>
          <reference field="2" count="1" selected="0">
            <x v="1"/>
          </reference>
        </references>
      </pivotArea>
    </chartFormat>
    <chartFormat chart="38" format="11">
      <pivotArea type="data" outline="0" fieldPosition="0">
        <references count="2">
          <reference field="4294967294" count="1" selected="0">
            <x v="0"/>
          </reference>
          <reference field="2" count="1" selected="0">
            <x v="3"/>
          </reference>
        </references>
      </pivotArea>
    </chartFormat>
    <chartFormat chart="38" format="12">
      <pivotArea type="data" outline="0" fieldPosition="0">
        <references count="2">
          <reference field="4294967294" count="1" selected="0">
            <x v="0"/>
          </reference>
          <reference field="2"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2" count="1" selected="0">
            <x v="2"/>
          </reference>
        </references>
      </pivotArea>
    </chartFormat>
    <chartFormat chart="45" format="4">
      <pivotArea type="data" outline="0" fieldPosition="0">
        <references count="2">
          <reference field="4294967294" count="1" selected="0">
            <x v="0"/>
          </reference>
          <reference field="2" count="1" selected="0">
            <x v="1"/>
          </reference>
        </references>
      </pivotArea>
    </chartFormat>
    <chartFormat chart="45" format="5">
      <pivotArea type="data" outline="0" fieldPosition="0">
        <references count="2">
          <reference field="4294967294" count="1" selected="0">
            <x v="0"/>
          </reference>
          <reference field="2" count="1" selected="0">
            <x v="3"/>
          </reference>
        </references>
      </pivotArea>
    </chartFormat>
    <chartFormat chart="45" format="6">
      <pivotArea type="data" outline="0" fieldPosition="0">
        <references count="2">
          <reference field="4294967294" count="1" selected="0">
            <x v="0"/>
          </reference>
          <reference field="2" count="1" selected="0">
            <x v="0"/>
          </reference>
        </references>
      </pivotArea>
    </chartFormat>
    <chartFormat chart="46" format="8" series="1">
      <pivotArea type="data" outline="0" fieldPosition="0">
        <references count="1">
          <reference field="4294967294" count="1" selected="0">
            <x v="0"/>
          </reference>
        </references>
      </pivotArea>
    </chartFormat>
    <chartFormat chart="46" format="9">
      <pivotArea type="data" outline="0" fieldPosition="0">
        <references count="2">
          <reference field="4294967294" count="1" selected="0">
            <x v="0"/>
          </reference>
          <reference field="2" count="1" selected="0">
            <x v="2"/>
          </reference>
        </references>
      </pivotArea>
    </chartFormat>
    <chartFormat chart="46" format="10">
      <pivotArea type="data" outline="0" fieldPosition="0">
        <references count="2">
          <reference field="4294967294" count="1" selected="0">
            <x v="0"/>
          </reference>
          <reference field="2" count="1" selected="0">
            <x v="1"/>
          </reference>
        </references>
      </pivotArea>
    </chartFormat>
    <chartFormat chart="46" format="11">
      <pivotArea type="data" outline="0" fieldPosition="0">
        <references count="2">
          <reference field="4294967294" count="1" selected="0">
            <x v="0"/>
          </reference>
          <reference field="2" count="1" selected="0">
            <x v="3"/>
          </reference>
        </references>
      </pivotArea>
    </chartFormat>
    <chartFormat chart="46" format="12">
      <pivotArea type="data" outline="0" fieldPosition="0">
        <references count="2">
          <reference field="4294967294" count="1" selected="0">
            <x v="0"/>
          </reference>
          <reference field="2" count="1" selected="0">
            <x v="0"/>
          </reference>
        </references>
      </pivotArea>
    </chartFormat>
    <chartFormat chart="53" format="6" series="1">
      <pivotArea type="data" outline="0" fieldPosition="0">
        <references count="1">
          <reference field="4294967294" count="1" selected="0">
            <x v="0"/>
          </reference>
        </references>
      </pivotArea>
    </chartFormat>
    <chartFormat chart="53" format="7">
      <pivotArea type="data" outline="0" fieldPosition="0">
        <references count="2">
          <reference field="4294967294" count="1" selected="0">
            <x v="0"/>
          </reference>
          <reference field="2" count="1" selected="0">
            <x v="2"/>
          </reference>
        </references>
      </pivotArea>
    </chartFormat>
    <chartFormat chart="53" format="8">
      <pivotArea type="data" outline="0" fieldPosition="0">
        <references count="2">
          <reference field="4294967294" count="1" selected="0">
            <x v="0"/>
          </reference>
          <reference field="2" count="1" selected="0">
            <x v="1"/>
          </reference>
        </references>
      </pivotArea>
    </chartFormat>
    <chartFormat chart="53" format="9">
      <pivotArea type="data" outline="0" fieldPosition="0">
        <references count="2">
          <reference field="4294967294" count="1" selected="0">
            <x v="0"/>
          </reference>
          <reference field="2" count="1" selected="0">
            <x v="0"/>
          </reference>
        </references>
      </pivotArea>
    </chartFormat>
    <chartFormat chart="53" format="10">
      <pivotArea type="data" outline="0" fieldPosition="0">
        <references count="2">
          <reference field="4294967294" count="1" selected="0">
            <x v="0"/>
          </reference>
          <reference field="2" count="1" selected="0">
            <x v="3"/>
          </reference>
        </references>
      </pivotArea>
    </chartFormat>
  </chartFormats>
  <pivotHierarchies count="14">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Count of Amount2"/>
    <pivotHierarchy dragToData="1"/>
    <pivotHierarchy dragToData="1" caption="Distinct Count of Date"/>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A$1:$F$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EE78A6-15AE-4E4B-A0F5-AFFEF81D8FAB}" name="PivotTable8" cacheId="2157" applyNumberFormats="0" applyBorderFormats="0" applyFontFormats="0" applyPatternFormats="0" applyAlignmentFormats="0" applyWidthHeightFormats="1" dataCaption="Values" updatedVersion="7" minRefreshableVersion="3" useAutoFormatting="1" subtotalHiddenItems="1" itemPrintTitles="1" createdVersion="8" indent="0" outline="1" outlineData="1" multipleFieldFilters="0" chartFormat="6" rowHeaderCaption="Category">
  <location ref="F28:G37" firstHeaderRow="1" firstDataRow="1" firstDataCol="1"/>
  <pivotFields count="3">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5"/>
    </i>
    <i>
      <x v="7"/>
    </i>
    <i>
      <x/>
    </i>
    <i>
      <x v="3"/>
    </i>
    <i>
      <x v="1"/>
    </i>
    <i>
      <x v="2"/>
    </i>
    <i>
      <x v="6"/>
    </i>
    <i>
      <x v="4"/>
    </i>
    <i t="grand">
      <x/>
    </i>
  </rowItems>
  <colItems count="1">
    <i/>
  </colItems>
  <dataFields count="1">
    <dataField name=" Amount (K)" fld="0" baseField="0" baseItem="0" numFmtId="164"/>
  </dataFields>
  <formats count="4">
    <format dxfId="1277">
      <pivotArea collapsedLevelsAreSubtotals="1" fieldPosition="0">
        <references count="2">
          <reference field="4294967294" count="1" selected="0">
            <x v="0"/>
          </reference>
          <reference field="1" count="0"/>
        </references>
      </pivotArea>
    </format>
    <format dxfId="1278">
      <pivotArea outline="0" collapsedLevelsAreSubtotals="1" fieldPosition="0">
        <references count="1">
          <reference field="4294967294" count="1" selected="0">
            <x v="0"/>
          </reference>
        </references>
      </pivotArea>
    </format>
    <format dxfId="1279">
      <pivotArea field="1" grandRow="1" outline="0" collapsedLevelsAreSubtotals="1" axis="axisRow" fieldPosition="0">
        <references count="1">
          <reference field="4294967294" count="1" selected="0">
            <x v="0"/>
          </reference>
        </references>
      </pivotArea>
    </format>
    <format dxfId="1280">
      <pivotArea outline="0" collapsedLevelsAreSubtotals="1" fieldPosition="0"/>
    </format>
  </formats>
  <chartFormats count="10">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5"/>
          </reference>
        </references>
      </pivotArea>
    </chartFormat>
    <chartFormat chart="5" format="4">
      <pivotArea type="data" outline="0" fieldPosition="0">
        <references count="2">
          <reference field="4294967294" count="1" selected="0">
            <x v="0"/>
          </reference>
          <reference field="1" count="1" selected="0">
            <x v="7"/>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3"/>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 chart="5" format="9">
      <pivotArea type="data" outline="0" fieldPosition="0">
        <references count="2">
          <reference field="4294967294" count="1" selected="0">
            <x v="0"/>
          </reference>
          <reference field="1" count="1" selected="0">
            <x v="6"/>
          </reference>
        </references>
      </pivotArea>
    </chartFormat>
    <chartFormat chart="5" format="10">
      <pivotArea type="data" outline="0" fieldPosition="0">
        <references count="2">
          <reference field="4294967294" count="1" selected="0">
            <x v="0"/>
          </reference>
          <reference field="1" count="1" selected="0">
            <x v="4"/>
          </reference>
        </references>
      </pivotArea>
    </chartFormat>
  </chartFormats>
  <pivotHierarchies count="14">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 Amount (K)"/>
    <pivotHierarchy dragToData="1" caption="Count of Amount2"/>
    <pivotHierarchy dragToData="1"/>
    <pivotHierarchy dragToData="1" caption="Distinct Count of Date"/>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A$1:$F$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EDF1BE-7DA2-4C75-88E2-DC283E8422E8}" name="PivotTable6" cacheId="2151" applyNumberFormats="0" applyBorderFormats="0" applyFontFormats="0" applyPatternFormats="0" applyAlignmentFormats="0" applyWidthHeightFormats="1" dataCaption="Values" updatedVersion="7" minRefreshableVersion="3" useAutoFormatting="1" subtotalHiddenItems="1" itemPrintTitles="1" createdVersion="8" indent="0" outline="1" outlineData="1" multipleFieldFilters="0" chartFormat="47">
  <location ref="A8:C13" firstHeaderRow="0" firstDataRow="1" firstDataCol="1"/>
  <pivotFields count="5">
    <pivotField dataField="1" subtotalTop="0" showAll="0" defaultSubtotal="0"/>
    <pivotField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5">
    <i>
      <x v="2"/>
    </i>
    <i>
      <x v="1"/>
    </i>
    <i>
      <x v="3"/>
    </i>
    <i>
      <x/>
    </i>
    <i t="grand">
      <x/>
    </i>
  </rowItems>
  <colFields count="1">
    <field x="-2"/>
  </colFields>
  <colItems count="2">
    <i>
      <x/>
    </i>
    <i i="1">
      <x v="1"/>
    </i>
  </colItems>
  <dataFields count="2">
    <dataField name="Sum of Amount" fld="0" baseField="0" baseItem="0" numFmtId="1"/>
    <dataField name="Count of Payment Method" fld="3" subtotal="count" showDataAs="percentOfTotal" baseField="0" baseItem="0" numFmtId="9"/>
  </dataFields>
  <formats count="4">
    <format dxfId="1290">
      <pivotArea outline="0" collapsedLevelsAreSubtotals="1" fieldPosition="0">
        <references count="1">
          <reference field="4294967294" count="1" selected="0">
            <x v="0"/>
          </reference>
        </references>
      </pivotArea>
    </format>
    <format dxfId="1291">
      <pivotArea outline="0" collapsedLevelsAreSubtotals="1" fieldPosition="0">
        <references count="1">
          <reference field="4294967294" count="1" selected="0">
            <x v="1"/>
          </reference>
        </references>
      </pivotArea>
    </format>
    <format dxfId="1292">
      <pivotArea collapsedLevelsAreSubtotals="1" fieldPosition="0">
        <references count="2">
          <reference field="4294967294" count="1" selected="0">
            <x v="0"/>
          </reference>
          <reference field="2" count="0"/>
        </references>
      </pivotArea>
    </format>
    <format dxfId="1293">
      <pivotArea field="2" grandRow="1" outline="0" collapsedLevelsAreSubtotals="1" axis="axisRow" fieldPosition="0">
        <references count="1">
          <reference field="4294967294" count="1" selected="0">
            <x v="0"/>
          </reference>
        </references>
      </pivotArea>
    </format>
  </formats>
  <chartFormats count="31">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1" format="2">
      <pivotArea type="data" outline="0" fieldPosition="0">
        <references count="2">
          <reference field="4294967294" count="1" selected="0">
            <x v="1"/>
          </reference>
          <reference field="2" count="1" selected="0">
            <x v="2"/>
          </reference>
        </references>
      </pivotArea>
    </chartFormat>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38" format="8" series="1">
      <pivotArea type="data" outline="0" fieldPosition="0">
        <references count="1">
          <reference field="4294967294" count="1" selected="0">
            <x v="0"/>
          </reference>
        </references>
      </pivotArea>
    </chartFormat>
    <chartFormat chart="38" format="9">
      <pivotArea type="data" outline="0" fieldPosition="0">
        <references count="2">
          <reference field="4294967294" count="1" selected="0">
            <x v="0"/>
          </reference>
          <reference field="2" count="1" selected="0">
            <x v="2"/>
          </reference>
        </references>
      </pivotArea>
    </chartFormat>
    <chartFormat chart="38" format="10">
      <pivotArea type="data" outline="0" fieldPosition="0">
        <references count="2">
          <reference field="4294967294" count="1" selected="0">
            <x v="0"/>
          </reference>
          <reference field="2" count="1" selected="0">
            <x v="1"/>
          </reference>
        </references>
      </pivotArea>
    </chartFormat>
    <chartFormat chart="38" format="11">
      <pivotArea type="data" outline="0" fieldPosition="0">
        <references count="2">
          <reference field="4294967294" count="1" selected="0">
            <x v="0"/>
          </reference>
          <reference field="2" count="1" selected="0">
            <x v="3"/>
          </reference>
        </references>
      </pivotArea>
    </chartFormat>
    <chartFormat chart="38" format="12">
      <pivotArea type="data" outline="0" fieldPosition="0">
        <references count="2">
          <reference field="4294967294" count="1" selected="0">
            <x v="0"/>
          </reference>
          <reference field="2" count="1" selected="0">
            <x v="0"/>
          </reference>
        </references>
      </pivotArea>
    </chartFormat>
    <chartFormat chart="38" format="13" series="1">
      <pivotArea type="data" outline="0" fieldPosition="0">
        <references count="1">
          <reference field="4294967294" count="1" selected="0">
            <x v="1"/>
          </reference>
        </references>
      </pivotArea>
    </chartFormat>
    <chartFormat chart="38" format="14">
      <pivotArea type="data" outline="0" fieldPosition="0">
        <references count="2">
          <reference field="4294967294" count="1" selected="0">
            <x v="1"/>
          </reference>
          <reference field="2" count="1" selected="0">
            <x v="2"/>
          </reference>
        </references>
      </pivotArea>
    </chartFormat>
    <chartFormat chart="38" format="15">
      <pivotArea type="data" outline="0" fieldPosition="0">
        <references count="2">
          <reference field="4294967294" count="1" selected="0">
            <x v="1"/>
          </reference>
          <reference field="2" count="1" selected="0">
            <x v="1"/>
          </reference>
        </references>
      </pivotArea>
    </chartFormat>
    <chartFormat chart="38" format="16">
      <pivotArea type="data" outline="0" fieldPosition="0">
        <references count="2">
          <reference field="4294967294" count="1" selected="0">
            <x v="1"/>
          </reference>
          <reference field="2" count="1" selected="0">
            <x v="3"/>
          </reference>
        </references>
      </pivotArea>
    </chartFormat>
    <chartFormat chart="38" format="17">
      <pivotArea type="data" outline="0" fieldPosition="0">
        <references count="2">
          <reference field="4294967294" count="1" selected="0">
            <x v="1"/>
          </reference>
          <reference field="2" count="1" selected="0">
            <x v="0"/>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2" count="1" selected="0">
            <x v="2"/>
          </reference>
        </references>
      </pivotArea>
    </chartFormat>
    <chartFormat chart="45" format="4">
      <pivotArea type="data" outline="0" fieldPosition="0">
        <references count="2">
          <reference field="4294967294" count="1" selected="0">
            <x v="0"/>
          </reference>
          <reference field="2" count="1" selected="0">
            <x v="1"/>
          </reference>
        </references>
      </pivotArea>
    </chartFormat>
    <chartFormat chart="45" format="5">
      <pivotArea type="data" outline="0" fieldPosition="0">
        <references count="2">
          <reference field="4294967294" count="1" selected="0">
            <x v="0"/>
          </reference>
          <reference field="2" count="1" selected="0">
            <x v="3"/>
          </reference>
        </references>
      </pivotArea>
    </chartFormat>
    <chartFormat chart="45" format="6">
      <pivotArea type="data" outline="0" fieldPosition="0">
        <references count="2">
          <reference field="4294967294" count="1" selected="0">
            <x v="0"/>
          </reference>
          <reference field="2" count="1" selected="0">
            <x v="0"/>
          </reference>
        </references>
      </pivotArea>
    </chartFormat>
    <chartFormat chart="45" format="7" series="1">
      <pivotArea type="data" outline="0" fieldPosition="0">
        <references count="1">
          <reference field="4294967294" count="1" selected="0">
            <x v="1"/>
          </reference>
        </references>
      </pivotArea>
    </chartFormat>
  </chartFormats>
  <pivotHierarchies count="14">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Count of Amount2"/>
    <pivotHierarchy dragToData="1"/>
    <pivotHierarchy dragToData="1" caption="Distinct Count of Date"/>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A$1:$F$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F7DB16-4114-4C49-8E5D-6BD23415EB63}" name="PivotTable7" cacheId="2154" applyNumberFormats="0" applyBorderFormats="0" applyFontFormats="0" applyPatternFormats="0" applyAlignmentFormats="0" applyWidthHeightFormats="1" dataCaption="Values" updatedVersion="7" minRefreshableVersion="3" useAutoFormatting="1" subtotalHiddenItems="1" itemPrintTitles="1" createdVersion="8" indent="0" compact="0" compactData="0" multipleFieldFilters="0" chartFormat="8">
  <location ref="F19:G25" firstHeaderRow="1" firstDataRow="1" firstDataCol="1"/>
  <pivotFields count="3">
    <pivotField dataField="1" compact="0" outline="0" subtotalTop="0" showAll="0" defaultSubtotal="0"/>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6">
    <i>
      <x v="3"/>
    </i>
    <i>
      <x v="4"/>
    </i>
    <i>
      <x/>
    </i>
    <i>
      <x v="2"/>
    </i>
    <i>
      <x v="1"/>
    </i>
    <i t="grand">
      <x/>
    </i>
  </rowItems>
  <colItems count="1">
    <i/>
  </colItems>
  <dataFields count="1">
    <dataField name="Amount (BDT)" fld="0" baseField="0" baseItem="0" numFmtId="1"/>
  </dataFields>
  <formats count="9">
    <format dxfId="1281">
      <pivotArea outline="0" collapsedLevelsAreSubtotals="1" fieldPosition="0"/>
    </format>
    <format dxfId="1282">
      <pivotArea outline="0" fieldPosition="0">
        <references count="1">
          <reference field="1" count="0" selected="0"/>
        </references>
      </pivotArea>
    </format>
    <format dxfId="1283">
      <pivotArea type="all" dataOnly="0" outline="0" fieldPosition="0"/>
    </format>
    <format dxfId="1284">
      <pivotArea outline="0" collapsedLevelsAreSubtotals="1" fieldPosition="0"/>
    </format>
    <format dxfId="1285">
      <pivotArea field="1" type="button" dataOnly="0" labelOnly="1" outline="0" axis="axisRow" fieldPosition="0"/>
    </format>
    <format dxfId="1286">
      <pivotArea dataOnly="0" labelOnly="1" outline="0" fieldPosition="0">
        <references count="1">
          <reference field="1" count="0"/>
        </references>
      </pivotArea>
    </format>
    <format dxfId="1287">
      <pivotArea dataOnly="0" labelOnly="1" grandRow="1" outline="0" fieldPosition="0"/>
    </format>
    <format dxfId="1288">
      <pivotArea dataOnly="0" labelOnly="1" outline="0" axis="axisValues" fieldPosition="0"/>
    </format>
    <format dxfId="1289">
      <pivotArea grandRow="1" outline="0" collapsedLevelsAreSubtotals="1" fieldPosition="0"/>
    </format>
  </format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3"/>
          </reference>
        </references>
      </pivotArea>
    </chartFormat>
    <chartFormat chart="7" format="2">
      <pivotArea type="data" outline="0" fieldPosition="0">
        <references count="2">
          <reference field="4294967294" count="1" selected="0">
            <x v="0"/>
          </reference>
          <reference field="1" count="1" selected="0">
            <x v="4"/>
          </reference>
        </references>
      </pivotArea>
    </chartFormat>
    <chartFormat chart="7" format="3">
      <pivotArea type="data" outline="0" fieldPosition="0">
        <references count="2">
          <reference field="4294967294" count="1" selected="0">
            <x v="0"/>
          </reference>
          <reference field="1" count="1" selected="0">
            <x v="0"/>
          </reference>
        </references>
      </pivotArea>
    </chartFormat>
    <chartFormat chart="7" format="4">
      <pivotArea type="data" outline="0" fieldPosition="0">
        <references count="2">
          <reference field="4294967294" count="1" selected="0">
            <x v="0"/>
          </reference>
          <reference field="1" count="1" selected="0">
            <x v="2"/>
          </reference>
        </references>
      </pivotArea>
    </chartFormat>
    <chartFormat chart="7" format="5">
      <pivotArea type="data" outline="0" fieldPosition="0">
        <references count="2">
          <reference field="4294967294" count="1" selected="0">
            <x v="0"/>
          </reference>
          <reference field="1" count="1" selected="0">
            <x v="1"/>
          </reference>
        </references>
      </pivotArea>
    </chartFormat>
  </chartFormats>
  <pivotHierarchies count="14">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Amount (BDT)"/>
    <pivotHierarchy dragToData="1" caption="Count of Amount2"/>
    <pivotHierarchy dragToData="1"/>
    <pivotHierarchy dragToData="1" caption="Distinct Count of Date"/>
    <pivotHierarchy dragToData="1"/>
  </pivotHierarchies>
  <pivotTableStyleInfo name="PivotStyleLight16" showRowHeaders="1" showColHeaders="1" showRowStripes="0" showColStripes="0" showLastColumn="1"/>
  <filters count="1">
    <filter fld="1" type="count" id="1" iMeasureHier="9">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A$1:$F$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05DEA1-4799-4E32-AF6B-AA846FB9949A}" name="PivotTable5" cacheId="2136" applyNumberFormats="0" applyBorderFormats="0" applyFontFormats="0" applyPatternFormats="0" applyAlignmentFormats="0" applyWidthHeightFormats="1" dataCaption="Values" updatedVersion="7" minRefreshableVersion="3" useAutoFormatting="1" subtotalHiddenItems="1" itemPrintTitles="1" createdVersion="8" indent="0" outline="1" outlineData="1" multipleFieldFilters="0" chartFormat="25" rowHeaderCaption="Date">
  <location ref="A19:B37" firstHeaderRow="1" firstDataRow="1" firstDataCol="1"/>
  <pivotFields count="3">
    <pivotField allDrilled="1" subtotalTop="0" showAll="0" sortType="ascending" defaultAttributeDrillState="1">
      <items count="18">
        <item x="0"/>
        <item x="1"/>
        <item x="2"/>
        <item x="3"/>
        <item x="4"/>
        <item x="5"/>
        <item x="6"/>
        <item x="7"/>
        <item x="8"/>
        <item x="9"/>
        <item x="10"/>
        <item x="11"/>
        <item x="12"/>
        <item x="13"/>
        <item x="14"/>
        <item x="15"/>
        <item x="16"/>
        <item t="default"/>
      </items>
    </pivotField>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Amount" fld="1" baseField="0" baseItem="13" numFmtId="168"/>
  </dataFields>
  <formats count="6">
    <format dxfId="1418">
      <pivotArea outline="0" collapsedLevelsAreSubtotals="1" fieldPosition="0"/>
    </format>
    <format dxfId="1419">
      <pivotArea dataOnly="0" labelOnly="1" outline="0" axis="axisValues" fieldPosition="0"/>
    </format>
    <format dxfId="1420">
      <pivotArea grandRow="1" outline="0" collapsedLevelsAreSubtotals="1" fieldPosition="0"/>
    </format>
    <format dxfId="1421">
      <pivotArea field="0" type="button" dataOnly="0" labelOnly="1" outline="0"/>
    </format>
    <format dxfId="1422">
      <pivotArea dataOnly="0" labelOnly="1" grandRow="1" outline="0" fieldPosition="0"/>
    </format>
    <format dxfId="1423">
      <pivotArea outline="0" fieldPosition="0">
        <references count="1">
          <reference field="4294967294" count="1">
            <x v="0"/>
          </reference>
        </references>
      </pivotArea>
    </format>
  </formats>
  <conditionalFormats count="1">
    <conditionalFormat type="all" priority="1">
      <pivotAreas count="1">
        <pivotArea type="data" collapsedLevelsAreSubtotals="1" fieldPosition="0">
          <references count="2">
            <reference field="4294967294" count="1" selected="0">
              <x v="0"/>
            </reference>
            <reference field="2" count="17">
              <x v="0"/>
              <x v="1"/>
              <x v="2"/>
              <x v="3"/>
              <x v="4"/>
              <x v="5"/>
              <x v="6"/>
              <x v="7"/>
              <x v="8"/>
              <x v="9"/>
              <x v="10"/>
              <x v="11"/>
              <x v="12"/>
              <x v="13"/>
              <x v="14"/>
              <x v="15"/>
              <x v="16"/>
            </reference>
          </references>
        </pivotArea>
      </pivotAreas>
    </conditionalFormat>
  </conditionalFormats>
  <chartFormats count="1">
    <chartFormat chart="23" format="3" series="1">
      <pivotArea type="data" outline="0" fieldPosition="0">
        <references count="1">
          <reference field="4294967294" count="1" selected="0">
            <x v="0"/>
          </reference>
        </references>
      </pivotArea>
    </chartFormat>
  </chartFormats>
  <pivotHierarchies count="14">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Amount"/>
    <pivotHierarchy dragToData="1" caption="Count of Amount2"/>
    <pivotHierarchy dragToData="1"/>
    <pivotHierarchy dragToData="1" caption="Distinct Count of Date"/>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A$1:$F$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638B88-431C-4641-97B3-A3CB6767FC64}" name="PivotTable2" cacheId="2142" applyNumberFormats="0" applyBorderFormats="0" applyFontFormats="0" applyPatternFormats="0" applyAlignmentFormats="0" applyWidthHeightFormats="1" dataCaption="Values" grandTotalCaption="Total" updatedVersion="7" minRefreshableVersion="3" useAutoFormatting="1" subtotalHiddenItems="1" itemPrintTitles="1" createdVersion="8" indent="0" compact="0" compactData="0" multipleFieldFilters="0" chartFormat="8">
  <location ref="R7:S13" firstHeaderRow="1" firstDataRow="1" firstDataCol="1"/>
  <pivotFields count="3">
    <pivotField dataField="1" compact="0" outline="0" subtotalTop="0" showAll="0" defaultSubtotal="0"/>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6">
    <i>
      <x v="3"/>
    </i>
    <i>
      <x v="4"/>
    </i>
    <i>
      <x/>
    </i>
    <i>
      <x v="2"/>
    </i>
    <i>
      <x v="1"/>
    </i>
    <i t="grand">
      <x/>
    </i>
  </rowItems>
  <colItems count="1">
    <i/>
  </colItems>
  <dataFields count="1">
    <dataField name="Amount (BDT)" fld="0" baseField="0" baseItem="0" numFmtId="168"/>
  </dataFields>
  <formats count="63">
    <format dxfId="1352">
      <pivotArea outline="0" collapsedLevelsAreSubtotals="1" fieldPosition="0"/>
    </format>
    <format dxfId="1353">
      <pivotArea outline="0" fieldPosition="0">
        <references count="1">
          <reference field="1" count="0" selected="0"/>
        </references>
      </pivotArea>
    </format>
    <format dxfId="1354">
      <pivotArea type="all" dataOnly="0" outline="0" fieldPosition="0"/>
    </format>
    <format dxfId="1355">
      <pivotArea outline="0" collapsedLevelsAreSubtotals="1" fieldPosition="0"/>
    </format>
    <format dxfId="1356">
      <pivotArea field="1" type="button" dataOnly="0" labelOnly="1" outline="0" axis="axisRow" fieldPosition="0"/>
    </format>
    <format dxfId="1357">
      <pivotArea dataOnly="0" labelOnly="1" outline="0" fieldPosition="0">
        <references count="1">
          <reference field="1" count="0"/>
        </references>
      </pivotArea>
    </format>
    <format dxfId="1358">
      <pivotArea dataOnly="0" labelOnly="1" grandRow="1" outline="0" fieldPosition="0"/>
    </format>
    <format dxfId="1359">
      <pivotArea dataOnly="0" labelOnly="1" outline="0" axis="axisValues" fieldPosition="0"/>
    </format>
    <format dxfId="1360">
      <pivotArea grandRow="1" outline="0" collapsedLevelsAreSubtotals="1" fieldPosition="0"/>
    </format>
    <format dxfId="1361">
      <pivotArea type="all" dataOnly="0" outline="0" fieldPosition="0"/>
    </format>
    <format dxfId="1362">
      <pivotArea outline="0" collapsedLevelsAreSubtotals="1" fieldPosition="0"/>
    </format>
    <format dxfId="1363">
      <pivotArea field="1" type="button" dataOnly="0" labelOnly="1" outline="0" axis="axisRow" fieldPosition="0"/>
    </format>
    <format dxfId="1364">
      <pivotArea dataOnly="0" labelOnly="1" outline="0" axis="axisValues" fieldPosition="0"/>
    </format>
    <format dxfId="1365">
      <pivotArea type="all" dataOnly="0" outline="0" fieldPosition="0"/>
    </format>
    <format dxfId="1366">
      <pivotArea outline="0" collapsedLevelsAreSubtotals="1" fieldPosition="0"/>
    </format>
    <format dxfId="1367">
      <pivotArea field="1" type="button" dataOnly="0" labelOnly="1" outline="0" axis="axisRow" fieldPosition="0"/>
    </format>
    <format dxfId="1368">
      <pivotArea dataOnly="0" labelOnly="1" outline="0" fieldPosition="0">
        <references count="1">
          <reference field="1" count="0"/>
        </references>
      </pivotArea>
    </format>
    <format dxfId="1369">
      <pivotArea dataOnly="0" labelOnly="1" grandRow="1" outline="0" fieldPosition="0"/>
    </format>
    <format dxfId="1370">
      <pivotArea dataOnly="0" labelOnly="1" outline="0" axis="axisValues" fieldPosition="0"/>
    </format>
    <format dxfId="1371">
      <pivotArea dataOnly="0" labelOnly="1" outline="0" fieldPosition="0">
        <references count="1">
          <reference field="1" count="0"/>
        </references>
      </pivotArea>
    </format>
    <format dxfId="1372">
      <pivotArea dataOnly="0" labelOnly="1" grandRow="1" outline="0" fieldPosition="0"/>
    </format>
    <format dxfId="1373">
      <pivotArea type="all" dataOnly="0" outline="0" fieldPosition="0"/>
    </format>
    <format dxfId="1374">
      <pivotArea outline="0" collapsedLevelsAreSubtotals="1" fieldPosition="0"/>
    </format>
    <format dxfId="1375">
      <pivotArea field="1" type="button" dataOnly="0" labelOnly="1" outline="0" axis="axisRow" fieldPosition="0"/>
    </format>
    <format dxfId="1376">
      <pivotArea dataOnly="0" labelOnly="1" outline="0" fieldPosition="0">
        <references count="1">
          <reference field="1" count="0"/>
        </references>
      </pivotArea>
    </format>
    <format dxfId="1377">
      <pivotArea dataOnly="0" labelOnly="1" grandRow="1" outline="0" fieldPosition="0"/>
    </format>
    <format dxfId="1378">
      <pivotArea dataOnly="0" labelOnly="1" outline="0" axis="axisValues" fieldPosition="0"/>
    </format>
    <format dxfId="1379">
      <pivotArea outline="0" fieldPosition="0">
        <references count="1">
          <reference field="1" count="0" selected="0"/>
        </references>
      </pivotArea>
    </format>
    <format dxfId="1380">
      <pivotArea dataOnly="0" labelOnly="1" outline="0" fieldPosition="0">
        <references count="1">
          <reference field="1" count="0"/>
        </references>
      </pivotArea>
    </format>
    <format dxfId="1381">
      <pivotArea outline="0" fieldPosition="0">
        <references count="1">
          <reference field="1" count="0" selected="0"/>
        </references>
      </pivotArea>
    </format>
    <format dxfId="1382">
      <pivotArea dataOnly="0" labelOnly="1" outline="0" fieldPosition="0">
        <references count="1">
          <reference field="1" count="0"/>
        </references>
      </pivotArea>
    </format>
    <format dxfId="1383">
      <pivotArea dataOnly="0" labelOnly="1" outline="0" fieldPosition="0">
        <references count="1">
          <reference field="1" count="1">
            <x v="2"/>
          </reference>
        </references>
      </pivotArea>
    </format>
    <format dxfId="1384">
      <pivotArea dataOnly="0" labelOnly="1" outline="0" fieldPosition="0">
        <references count="1">
          <reference field="1" count="1">
            <x v="1"/>
          </reference>
        </references>
      </pivotArea>
    </format>
    <format dxfId="1385">
      <pivotArea type="all" dataOnly="0" outline="0" fieldPosition="0"/>
    </format>
    <format dxfId="1386">
      <pivotArea outline="0" collapsedLevelsAreSubtotals="1" fieldPosition="0"/>
    </format>
    <format dxfId="1387">
      <pivotArea field="1" type="button" dataOnly="0" labelOnly="1" outline="0" axis="axisRow" fieldPosition="0"/>
    </format>
    <format dxfId="1388">
      <pivotArea dataOnly="0" labelOnly="1" outline="0" fieldPosition="0">
        <references count="1">
          <reference field="1" count="0"/>
        </references>
      </pivotArea>
    </format>
    <format dxfId="1389">
      <pivotArea dataOnly="0" labelOnly="1" grandRow="1" outline="0" fieldPosition="0"/>
    </format>
    <format dxfId="1390">
      <pivotArea dataOnly="0" labelOnly="1" outline="0" axis="axisValues" fieldPosition="0"/>
    </format>
    <format dxfId="1391">
      <pivotArea type="all" dataOnly="0" outline="0" fieldPosition="0"/>
    </format>
    <format dxfId="1392">
      <pivotArea outline="0" collapsedLevelsAreSubtotals="1" fieldPosition="0"/>
    </format>
    <format dxfId="1393">
      <pivotArea field="1" type="button" dataOnly="0" labelOnly="1" outline="0" axis="axisRow" fieldPosition="0"/>
    </format>
    <format dxfId="1394">
      <pivotArea dataOnly="0" labelOnly="1" outline="0" fieldPosition="0">
        <references count="1">
          <reference field="1" count="0"/>
        </references>
      </pivotArea>
    </format>
    <format dxfId="1395">
      <pivotArea dataOnly="0" labelOnly="1" grandRow="1" outline="0" fieldPosition="0"/>
    </format>
    <format dxfId="1396">
      <pivotArea dataOnly="0" labelOnly="1" outline="0" axis="axisValues" fieldPosition="0"/>
    </format>
    <format dxfId="1397">
      <pivotArea type="all" dataOnly="0" outline="0" fieldPosition="0"/>
    </format>
    <format dxfId="1398">
      <pivotArea dataOnly="0" labelOnly="1" outline="0" fieldPosition="0">
        <references count="1">
          <reference field="1" count="0"/>
        </references>
      </pivotArea>
    </format>
    <format dxfId="1399">
      <pivotArea dataOnly="0" labelOnly="1" outline="0" fieldPosition="0">
        <references count="1">
          <reference field="1" count="0"/>
        </references>
      </pivotArea>
    </format>
    <format dxfId="1400">
      <pivotArea type="all" dataOnly="0" outline="0" fieldPosition="0"/>
    </format>
    <format dxfId="1401">
      <pivotArea field="1" type="button" dataOnly="0" labelOnly="1" outline="0" axis="axisRow" fieldPosition="0"/>
    </format>
    <format dxfId="1402">
      <pivotArea dataOnly="0" labelOnly="1" outline="0" fieldPosition="0">
        <references count="1">
          <reference field="1" count="0"/>
        </references>
      </pivotArea>
    </format>
    <format dxfId="1403">
      <pivotArea dataOnly="0" labelOnly="1" grandRow="1" outline="0" fieldPosition="0"/>
    </format>
    <format dxfId="1404">
      <pivotArea outline="0" fieldPosition="0">
        <references count="1">
          <reference field="1" count="1" selected="0">
            <x v="2"/>
          </reference>
        </references>
      </pivotArea>
    </format>
    <format dxfId="1405">
      <pivotArea field="1" type="button" dataOnly="0" labelOnly="1" outline="0" axis="axisRow" fieldPosition="0"/>
    </format>
    <format dxfId="1406">
      <pivotArea dataOnly="0" labelOnly="1" outline="0" fieldPosition="0">
        <references count="1">
          <reference field="1" count="0"/>
        </references>
      </pivotArea>
    </format>
    <format dxfId="1407">
      <pivotArea dataOnly="0" labelOnly="1" grandRow="1" outline="0" fieldPosition="0"/>
    </format>
    <format dxfId="1408">
      <pivotArea type="all" dataOnly="0" outline="0" fieldPosition="0"/>
    </format>
    <format dxfId="1409">
      <pivotArea outline="0" collapsedLevelsAreSubtotals="1" fieldPosition="0"/>
    </format>
    <format dxfId="1410">
      <pivotArea field="1" type="button" dataOnly="0" labelOnly="1" outline="0" axis="axisRow" fieldPosition="0"/>
    </format>
    <format dxfId="1411">
      <pivotArea dataOnly="0" labelOnly="1" outline="0" fieldPosition="0">
        <references count="1">
          <reference field="1" count="0"/>
        </references>
      </pivotArea>
    </format>
    <format dxfId="1412">
      <pivotArea dataOnly="0" labelOnly="1" grandRow="1" outline="0" fieldPosition="0"/>
    </format>
    <format dxfId="1413">
      <pivotArea dataOnly="0" labelOnly="1" outline="0" axis="axisValues" fieldPosition="0"/>
    </format>
    <format dxfId="1414">
      <pivotArea outline="0" collapsedLevelsAreSubtotals="1" fieldPosition="0"/>
    </format>
  </formats>
  <chartFormats count="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3"/>
          </reference>
        </references>
      </pivotArea>
    </chartFormat>
    <chartFormat chart="7" format="2">
      <pivotArea type="data" outline="0" fieldPosition="0">
        <references count="2">
          <reference field="4294967294" count="1" selected="0">
            <x v="0"/>
          </reference>
          <reference field="1" count="1" selected="0">
            <x v="4"/>
          </reference>
        </references>
      </pivotArea>
    </chartFormat>
    <chartFormat chart="7" format="3">
      <pivotArea type="data" outline="0" fieldPosition="0">
        <references count="2">
          <reference field="4294967294" count="1" selected="0">
            <x v="0"/>
          </reference>
          <reference field="1" count="1" selected="0">
            <x v="0"/>
          </reference>
        </references>
      </pivotArea>
    </chartFormat>
    <chartFormat chart="7" format="4">
      <pivotArea type="data" outline="0" fieldPosition="0">
        <references count="2">
          <reference field="4294967294" count="1" selected="0">
            <x v="0"/>
          </reference>
          <reference field="1" count="1" selected="0">
            <x v="2"/>
          </reference>
        </references>
      </pivotArea>
    </chartFormat>
    <chartFormat chart="7" format="5">
      <pivotArea type="data" outline="0" fieldPosition="0">
        <references count="2">
          <reference field="4294967294" count="1" selected="0">
            <x v="0"/>
          </reference>
          <reference field="1" count="1" selected="0">
            <x v="1"/>
          </reference>
        </references>
      </pivotArea>
    </chartFormat>
  </chartFormats>
  <pivotHierarchies count="14">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Amount (BDT)"/>
    <pivotHierarchy dragToData="1" caption="Count of Amount2"/>
    <pivotHierarchy dragToData="1"/>
    <pivotHierarchy dragToData="1" caption="Distinct Count of Date"/>
    <pivotHierarchy dragToData="1"/>
  </pivotHierarchies>
  <pivotTableStyleInfo name="PivotStyleLight16" showRowHeaders="1" showColHeaders="1" showRowStripes="0" showColStripes="0" showLastColumn="1"/>
  <filters count="1">
    <filter fld="1" type="count" id="1" iMeasureHier="9">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A$1:$F$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67EFF9-DAA9-4D94-B414-2AB620D15B78}" name="PivotTable4" cacheId="2148" applyNumberFormats="0" applyBorderFormats="0" applyFontFormats="0" applyPatternFormats="0" applyAlignmentFormats="0" applyWidthHeightFormats="1" dataCaption="Values" grandTotalCaption="Total" updatedVersion="7" minRefreshableVersion="3" useAutoFormatting="1" subtotalHiddenItems="1" itemPrintTitles="1" createdVersion="8" indent="0" outline="1" outlineData="1" multipleFieldFilters="0" chartFormat="9" rowHeaderCaption="Category">
  <location ref="N6:P15" firstHeaderRow="0" firstDataRow="1" firstDataCol="1"/>
  <pivotFields count="4">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9">
    <i>
      <x v="5"/>
    </i>
    <i>
      <x v="7"/>
    </i>
    <i>
      <x/>
    </i>
    <i>
      <x v="3"/>
    </i>
    <i>
      <x v="1"/>
    </i>
    <i>
      <x v="2"/>
    </i>
    <i>
      <x v="6"/>
    </i>
    <i>
      <x v="4"/>
    </i>
    <i t="grand">
      <x/>
    </i>
  </rowItems>
  <colFields count="1">
    <field x="-2"/>
  </colFields>
  <colItems count="2">
    <i>
      <x/>
    </i>
    <i i="1">
      <x v="1"/>
    </i>
  </colItems>
  <dataFields count="2">
    <dataField name="Amount(BDT)" fld="0" baseField="0" baseItem="0" numFmtId="168"/>
    <dataField name="% of Total" fld="3" showDataAs="percentOfTotal" baseField="0" baseItem="0" numFmtId="9">
      <extLst>
        <ext xmlns:x14="http://schemas.microsoft.com/office/spreadsheetml/2009/9/main" uri="{E15A36E0-9728-4e99-A89B-3F7291B0FE68}">
          <x14:dataField sourceField="0" uniqueName="[__Xl2].[Measures].[Sum of Amount]"/>
        </ext>
      </extLst>
    </dataField>
  </dataFields>
  <formats count="54">
    <format dxfId="1294">
      <pivotArea collapsedLevelsAreSubtotals="1" fieldPosition="0">
        <references count="2">
          <reference field="4294967294" count="1" selected="0">
            <x v="0"/>
          </reference>
          <reference field="1" count="0"/>
        </references>
      </pivotArea>
    </format>
    <format dxfId="1295">
      <pivotArea outline="0" collapsedLevelsAreSubtotals="1" fieldPosition="0">
        <references count="1">
          <reference field="4294967294" count="1" selected="0">
            <x v="1"/>
          </reference>
        </references>
      </pivotArea>
    </format>
    <format dxfId="1296">
      <pivotArea field="1" grandRow="1" outline="0" collapsedLevelsAreSubtotals="1" axis="axisRow" fieldPosition="0">
        <references count="1">
          <reference field="4294967294" count="1" selected="0">
            <x v="0"/>
          </reference>
        </references>
      </pivotArea>
    </format>
    <format dxfId="1297">
      <pivotArea field="1" type="button" dataOnly="0" labelOnly="1" outline="0" axis="axisRow" fieldPosition="0"/>
    </format>
    <format dxfId="1298">
      <pivotArea dataOnly="0" labelOnly="1" outline="0" fieldPosition="0">
        <references count="1">
          <reference field="4294967294" count="2">
            <x v="0"/>
            <x v="1"/>
          </reference>
        </references>
      </pivotArea>
    </format>
    <format dxfId="1299">
      <pivotArea outline="0" collapsedLevelsAreSubtotals="1" fieldPosition="0"/>
    </format>
    <format dxfId="1300">
      <pivotArea dataOnly="0" labelOnly="1" fieldPosition="0">
        <references count="1">
          <reference field="1" count="0"/>
        </references>
      </pivotArea>
    </format>
    <format dxfId="1301">
      <pivotArea dataOnly="0" labelOnly="1" grandRow="1" outline="0" fieldPosition="0"/>
    </format>
    <format dxfId="1302">
      <pivotArea outline="0" collapsedLevelsAreSubtotals="1" fieldPosition="0"/>
    </format>
    <format dxfId="1303">
      <pivotArea dataOnly="0" labelOnly="1" grandRow="1" outline="0" fieldPosition="0"/>
    </format>
    <format dxfId="1304">
      <pivotArea dataOnly="0" labelOnly="1" fieldPosition="0">
        <references count="1">
          <reference field="1" count="0"/>
        </references>
      </pivotArea>
    </format>
    <format dxfId="1305">
      <pivotArea type="all" dataOnly="0" outline="0" fieldPosition="0"/>
    </format>
    <format dxfId="1306">
      <pivotArea outline="0" collapsedLevelsAreSubtotals="1" fieldPosition="0"/>
    </format>
    <format dxfId="1307">
      <pivotArea field="1" type="button" dataOnly="0" labelOnly="1" outline="0" axis="axisRow" fieldPosition="0"/>
    </format>
    <format dxfId="1308">
      <pivotArea dataOnly="0" labelOnly="1" fieldPosition="0">
        <references count="1">
          <reference field="1" count="0"/>
        </references>
      </pivotArea>
    </format>
    <format dxfId="1309">
      <pivotArea dataOnly="0" labelOnly="1" grandRow="1" outline="0" fieldPosition="0"/>
    </format>
    <format dxfId="1310">
      <pivotArea dataOnly="0" labelOnly="1" outline="0" fieldPosition="0">
        <references count="1">
          <reference field="4294967294" count="2">
            <x v="0"/>
            <x v="1"/>
          </reference>
        </references>
      </pivotArea>
    </format>
    <format dxfId="1311">
      <pivotArea field="1" type="button" dataOnly="0" labelOnly="1" outline="0" axis="axisRow" fieldPosition="0"/>
    </format>
    <format dxfId="1312">
      <pivotArea dataOnly="0" labelOnly="1" grandRow="1" outline="0" fieldPosition="0"/>
    </format>
    <format dxfId="1313">
      <pivotArea dataOnly="0" labelOnly="1" fieldPosition="0">
        <references count="1">
          <reference field="1" count="0"/>
        </references>
      </pivotArea>
    </format>
    <format dxfId="1314">
      <pivotArea type="all" dataOnly="0" outline="0" fieldPosition="0"/>
    </format>
    <format dxfId="1315">
      <pivotArea outline="0" collapsedLevelsAreSubtotals="1" fieldPosition="0"/>
    </format>
    <format dxfId="1316">
      <pivotArea field="1" type="button" dataOnly="0" labelOnly="1" outline="0" axis="axisRow" fieldPosition="0"/>
    </format>
    <format dxfId="1317">
      <pivotArea dataOnly="0" labelOnly="1" fieldPosition="0">
        <references count="1">
          <reference field="1" count="0"/>
        </references>
      </pivotArea>
    </format>
    <format dxfId="1318">
      <pivotArea dataOnly="0" labelOnly="1" grandRow="1" outline="0" fieldPosition="0"/>
    </format>
    <format dxfId="1319">
      <pivotArea dataOnly="0" labelOnly="1" outline="0" fieldPosition="0">
        <references count="1">
          <reference field="4294967294" count="2">
            <x v="0"/>
            <x v="1"/>
          </reference>
        </references>
      </pivotArea>
    </format>
    <format dxfId="1320">
      <pivotArea type="all" dataOnly="0" outline="0" fieldPosition="0"/>
    </format>
    <format dxfId="1321">
      <pivotArea dataOnly="0" labelOnly="1" fieldPosition="0">
        <references count="1">
          <reference field="1" count="0"/>
        </references>
      </pivotArea>
    </format>
    <format dxfId="1322">
      <pivotArea dataOnly="0" labelOnly="1" fieldPosition="0">
        <references count="1">
          <reference field="1" count="0"/>
        </references>
      </pivotArea>
    </format>
    <format dxfId="1323">
      <pivotArea dataOnly="0" labelOnly="1" fieldPosition="0">
        <references count="1">
          <reference field="1" count="1">
            <x v="1"/>
          </reference>
        </references>
      </pivotArea>
    </format>
    <format dxfId="1324">
      <pivotArea dataOnly="0" labelOnly="1" fieldPosition="0">
        <references count="1">
          <reference field="1" count="1">
            <x v="5"/>
          </reference>
        </references>
      </pivotArea>
    </format>
    <format dxfId="1325">
      <pivotArea dataOnly="0" labelOnly="1" fieldPosition="0">
        <references count="1">
          <reference field="1" count="1">
            <x v="5"/>
          </reference>
        </references>
      </pivotArea>
    </format>
    <format dxfId="1326">
      <pivotArea dataOnly="0" labelOnly="1" fieldPosition="0">
        <references count="1">
          <reference field="1" count="1">
            <x v="7"/>
          </reference>
        </references>
      </pivotArea>
    </format>
    <format dxfId="1327">
      <pivotArea dataOnly="0" labelOnly="1" fieldPosition="0">
        <references count="1">
          <reference field="1" count="1">
            <x v="7"/>
          </reference>
        </references>
      </pivotArea>
    </format>
    <format dxfId="1328">
      <pivotArea dataOnly="0" labelOnly="1" fieldPosition="0">
        <references count="1">
          <reference field="1" count="1">
            <x v="0"/>
          </reference>
        </references>
      </pivotArea>
    </format>
    <format dxfId="1329">
      <pivotArea dataOnly="0" labelOnly="1" fieldPosition="0">
        <references count="1">
          <reference field="1" count="1">
            <x v="0"/>
          </reference>
        </references>
      </pivotArea>
    </format>
    <format dxfId="1330">
      <pivotArea dataOnly="0" labelOnly="1" fieldPosition="0">
        <references count="1">
          <reference field="1" count="1">
            <x v="3"/>
          </reference>
        </references>
      </pivotArea>
    </format>
    <format dxfId="1331">
      <pivotArea dataOnly="0" labelOnly="1" fieldPosition="0">
        <references count="1">
          <reference field="1" count="1">
            <x v="3"/>
          </reference>
        </references>
      </pivotArea>
    </format>
    <format dxfId="1332">
      <pivotArea dataOnly="0" labelOnly="1" fieldPosition="0">
        <references count="1">
          <reference field="1" count="1">
            <x v="1"/>
          </reference>
        </references>
      </pivotArea>
    </format>
    <format dxfId="1333">
      <pivotArea dataOnly="0" labelOnly="1" fieldPosition="0">
        <references count="1">
          <reference field="1" count="1">
            <x v="1"/>
          </reference>
        </references>
      </pivotArea>
    </format>
    <format dxfId="1334">
      <pivotArea dataOnly="0" labelOnly="1" fieldPosition="0">
        <references count="1">
          <reference field="1" count="1">
            <x v="2"/>
          </reference>
        </references>
      </pivotArea>
    </format>
    <format dxfId="1335">
      <pivotArea dataOnly="0" labelOnly="1" fieldPosition="0">
        <references count="1">
          <reference field="1" count="1">
            <x v="2"/>
          </reference>
        </references>
      </pivotArea>
    </format>
    <format dxfId="1336">
      <pivotArea dataOnly="0" labelOnly="1" fieldPosition="0">
        <references count="1">
          <reference field="1" count="1">
            <x v="6"/>
          </reference>
        </references>
      </pivotArea>
    </format>
    <format dxfId="1337">
      <pivotArea dataOnly="0" labelOnly="1" fieldPosition="0">
        <references count="1">
          <reference field="1" count="1">
            <x v="6"/>
          </reference>
        </references>
      </pivotArea>
    </format>
    <format dxfId="1338">
      <pivotArea dataOnly="0" labelOnly="1" fieldPosition="0">
        <references count="1">
          <reference field="1" count="1">
            <x v="4"/>
          </reference>
        </references>
      </pivotArea>
    </format>
    <format dxfId="1339">
      <pivotArea dataOnly="0" labelOnly="1" fieldPosition="0">
        <references count="1">
          <reference field="1" count="1">
            <x v="4"/>
          </reference>
        </references>
      </pivotArea>
    </format>
    <format dxfId="1340">
      <pivotArea outline="0" collapsedLevelsAreSubtotals="1" fieldPosition="0">
        <references count="1">
          <reference field="4294967294" count="1" selected="0">
            <x v="0"/>
          </reference>
        </references>
      </pivotArea>
    </format>
    <format dxfId="1341">
      <pivotArea outline="0" collapsedLevelsAreSubtotals="1" fieldPosition="0">
        <references count="1">
          <reference field="4294967294" count="1" selected="0">
            <x v="0"/>
          </reference>
        </references>
      </pivotArea>
    </format>
    <format dxfId="1342">
      <pivotArea type="all" dataOnly="0" outline="0" fieldPosition="0"/>
    </format>
    <format dxfId="1343">
      <pivotArea outline="0" collapsedLevelsAreSubtotals="1" fieldPosition="0"/>
    </format>
    <format dxfId="1344">
      <pivotArea field="1" type="button" dataOnly="0" labelOnly="1" outline="0" axis="axisRow" fieldPosition="0"/>
    </format>
    <format dxfId="1345">
      <pivotArea dataOnly="0" labelOnly="1" fieldPosition="0">
        <references count="1">
          <reference field="1" count="0"/>
        </references>
      </pivotArea>
    </format>
    <format dxfId="1346">
      <pivotArea dataOnly="0" labelOnly="1" grandRow="1" outline="0" fieldPosition="0"/>
    </format>
    <format dxfId="1347">
      <pivotArea dataOnly="0" labelOnly="1" outline="0" fieldPosition="0">
        <references count="1">
          <reference field="4294967294" count="2">
            <x v="0"/>
            <x v="1"/>
          </reference>
        </references>
      </pivotArea>
    </format>
  </formats>
  <chartFormats count="18">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1" count="1" selected="0">
            <x v="5"/>
          </reference>
        </references>
      </pivotArea>
    </chartFormat>
    <chartFormat chart="7" format="22">
      <pivotArea type="data" outline="0" fieldPosition="0">
        <references count="2">
          <reference field="4294967294" count="1" selected="0">
            <x v="0"/>
          </reference>
          <reference field="1" count="1" selected="0">
            <x v="7"/>
          </reference>
        </references>
      </pivotArea>
    </chartFormat>
    <chartFormat chart="7" format="23">
      <pivotArea type="data" outline="0" fieldPosition="0">
        <references count="2">
          <reference field="4294967294" count="1" selected="0">
            <x v="0"/>
          </reference>
          <reference field="1" count="1" selected="0">
            <x v="0"/>
          </reference>
        </references>
      </pivotArea>
    </chartFormat>
    <chartFormat chart="7" format="24">
      <pivotArea type="data" outline="0" fieldPosition="0">
        <references count="2">
          <reference field="4294967294" count="1" selected="0">
            <x v="0"/>
          </reference>
          <reference field="1" count="1" selected="0">
            <x v="3"/>
          </reference>
        </references>
      </pivotArea>
    </chartFormat>
    <chartFormat chart="7" format="25">
      <pivotArea type="data" outline="0" fieldPosition="0">
        <references count="2">
          <reference field="4294967294" count="1" selected="0">
            <x v="0"/>
          </reference>
          <reference field="1" count="1" selected="0">
            <x v="1"/>
          </reference>
        </references>
      </pivotArea>
    </chartFormat>
    <chartFormat chart="7" format="26">
      <pivotArea type="data" outline="0" fieldPosition="0">
        <references count="2">
          <reference field="4294967294" count="1" selected="0">
            <x v="0"/>
          </reference>
          <reference field="1" count="1" selected="0">
            <x v="2"/>
          </reference>
        </references>
      </pivotArea>
    </chartFormat>
    <chartFormat chart="7" format="27">
      <pivotArea type="data" outline="0" fieldPosition="0">
        <references count="2">
          <reference field="4294967294" count="1" selected="0">
            <x v="0"/>
          </reference>
          <reference field="1" count="1" selected="0">
            <x v="6"/>
          </reference>
        </references>
      </pivotArea>
    </chartFormat>
    <chartFormat chart="7" format="28">
      <pivotArea type="data" outline="0" fieldPosition="0">
        <references count="2">
          <reference field="4294967294" count="1" selected="0">
            <x v="0"/>
          </reference>
          <reference field="1" count="1" selected="0">
            <x v="4"/>
          </reference>
        </references>
      </pivotArea>
    </chartFormat>
    <chartFormat chart="7" format="29" series="1">
      <pivotArea type="data" outline="0" fieldPosition="0">
        <references count="1">
          <reference field="4294967294" count="1" selected="0">
            <x v="1"/>
          </reference>
        </references>
      </pivotArea>
    </chartFormat>
    <chartFormat chart="7" format="30">
      <pivotArea type="data" outline="0" fieldPosition="0">
        <references count="2">
          <reference field="4294967294" count="1" selected="0">
            <x v="1"/>
          </reference>
          <reference field="1" count="1" selected="0">
            <x v="5"/>
          </reference>
        </references>
      </pivotArea>
    </chartFormat>
    <chartFormat chart="7" format="31">
      <pivotArea type="data" outline="0" fieldPosition="0">
        <references count="2">
          <reference field="4294967294" count="1" selected="0">
            <x v="1"/>
          </reference>
          <reference field="1" count="1" selected="0">
            <x v="7"/>
          </reference>
        </references>
      </pivotArea>
    </chartFormat>
    <chartFormat chart="7" format="32">
      <pivotArea type="data" outline="0" fieldPosition="0">
        <references count="2">
          <reference field="4294967294" count="1" selected="0">
            <x v="1"/>
          </reference>
          <reference field="1" count="1" selected="0">
            <x v="0"/>
          </reference>
        </references>
      </pivotArea>
    </chartFormat>
    <chartFormat chart="7" format="33">
      <pivotArea type="data" outline="0" fieldPosition="0">
        <references count="2">
          <reference field="4294967294" count="1" selected="0">
            <x v="1"/>
          </reference>
          <reference field="1" count="1" selected="0">
            <x v="3"/>
          </reference>
        </references>
      </pivotArea>
    </chartFormat>
    <chartFormat chart="7" format="34">
      <pivotArea type="data" outline="0" fieldPosition="0">
        <references count="2">
          <reference field="4294967294" count="1" selected="0">
            <x v="1"/>
          </reference>
          <reference field="1" count="1" selected="0">
            <x v="1"/>
          </reference>
        </references>
      </pivotArea>
    </chartFormat>
    <chartFormat chart="7" format="35">
      <pivotArea type="data" outline="0" fieldPosition="0">
        <references count="2">
          <reference field="4294967294" count="1" selected="0">
            <x v="1"/>
          </reference>
          <reference field="1" count="1" selected="0">
            <x v="2"/>
          </reference>
        </references>
      </pivotArea>
    </chartFormat>
    <chartFormat chart="7" format="36">
      <pivotArea type="data" outline="0" fieldPosition="0">
        <references count="2">
          <reference field="4294967294" count="1" selected="0">
            <x v="1"/>
          </reference>
          <reference field="1" count="1" selected="0">
            <x v="6"/>
          </reference>
        </references>
      </pivotArea>
    </chartFormat>
    <chartFormat chart="7" format="37">
      <pivotArea type="data" outline="0" fieldPosition="0">
        <references count="2">
          <reference field="4294967294" count="1" selected="0">
            <x v="1"/>
          </reference>
          <reference field="1" count="1" selected="0">
            <x v="4"/>
          </reference>
        </references>
      </pivotArea>
    </chartFormat>
  </chartFormats>
  <pivotHierarchies count="15">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Amount(BDT)"/>
    <pivotHierarchy dragToData="1" caption="Count of Amount2"/>
    <pivotHierarchy dragToData="1"/>
    <pivotHierarchy dragToData="1" caption="Distinct Count of Date"/>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A$1:$F$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540352F-A267-492A-B92C-E1044B1ED724}" sourceName="[Range].[Payment Method]">
  <pivotTables>
    <pivotTable tabId="6" name="PivotTable6"/>
    <pivotTable tabId="6" name="PivotTable1"/>
    <pivotTable tabId="6" name="PivotTable2"/>
    <pivotTable tabId="6" name="PivotTable3"/>
    <pivotTable tabId="6" name="PivotTable4"/>
    <pivotTable tabId="6" name="PivotTable5"/>
    <pivotTable tabId="6" name="PivotTable7"/>
    <pivotTable tabId="6" name="PivotTable8"/>
    <pivotTable tabId="6" name="PivotTable9"/>
  </pivotTables>
  <data>
    <olap pivotCacheId="1458998600">
      <levels count="2">
        <level uniqueName="[Range].[Payment Method].[(All)]" sourceCaption="(All)" count="0"/>
        <level uniqueName="[Range].[Payment Method].[Payment Method]" sourceCaption="Payment Method" count="4">
          <ranges>
            <range startItem="0">
              <i n="[Range].[Payment Method].&amp;[Bank Transfer]" c="Bank Transfer"/>
              <i n="[Range].[Payment Method].&amp;[Card]" c="Card"/>
              <i n="[Range].[Payment Method].&amp;[Cash]" c="Cash"/>
              <i n="[Range].[Payment Method].&amp;[Mobile Money]" c="Mobile Money"/>
            </range>
          </ranges>
        </level>
      </levels>
      <selections count="1">
        <selection n="[Range].[Payment Method].[All]"/>
      </selections>
    </olap>
  </data>
  <extLst>
    <x:ext xmlns:x15="http://schemas.microsoft.com/office/spreadsheetml/2010/11/main" uri="{470722E0-AACD-4C17-9CDC-17EF765DBC7E}">
      <x15:slicerCacheHideItemsWithNoData count="1">
        <x15:slicerCacheOlapLevelName uniqueName="[Range].[Payment Method].[Payment Method]"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2" xr10:uid="{996A5BB0-BDAD-4CA1-9180-7D096642D430}" sourceName="[Range].[Date 2]">
  <pivotTables>
    <pivotTable tabId="6" name="PivotTable5"/>
    <pivotTable tabId="6" name="PivotTable1"/>
    <pivotTable tabId="6" name="PivotTable2"/>
    <pivotTable tabId="6" name="PivotTable3"/>
    <pivotTable tabId="6" name="PivotTable4"/>
    <pivotTable tabId="6" name="PivotTable6"/>
    <pivotTable tabId="6" name="PivotTable7"/>
    <pivotTable tabId="6" name="PivotTable8"/>
    <pivotTable tabId="6" name="PivotTable9"/>
  </pivotTables>
  <data>
    <olap pivotCacheId="42002239">
      <levels count="2">
        <level uniqueName="[Range].[Date 2].[(All)]" sourceCaption="(All)" count="0"/>
        <level uniqueName="[Range].[Date 2].[Date 2]" sourceCaption="Date 2" count="17" crossFilter="none">
          <ranges>
            <range startItem="0">
              <i n="[Range].[Date 2].&amp;[01-April]" c="01-April"/>
              <i n="[Range].[Date 2].&amp;[02-April]" c="02-April"/>
              <i n="[Range].[Date 2].&amp;[03-April]" c="03-April"/>
              <i n="[Range].[Date 2].&amp;[04-April]" c="04-April"/>
              <i n="[Range].[Date 2].&amp;[05-April]" c="05-April"/>
              <i n="[Range].[Date 2].&amp;[06-April]" c="06-April"/>
              <i n="[Range].[Date 2].&amp;[07-April]" c="07-April"/>
              <i n="[Range].[Date 2].&amp;[08-April]" c="08-April"/>
              <i n="[Range].[Date 2].&amp;[09-April]" c="09-April"/>
              <i n="[Range].[Date 2].&amp;[10-April]" c="10-April"/>
              <i n="[Range].[Date 2].&amp;[11-April]" c="11-April"/>
              <i n="[Range].[Date 2].&amp;[12-April]" c="12-April"/>
              <i n="[Range].[Date 2].&amp;[13-April]" c="13-April"/>
              <i n="[Range].[Date 2].&amp;[14-April]" c="14-April"/>
              <i n="[Range].[Date 2].&amp;[15-April]" c="15-April"/>
              <i n="[Range].[Date 2].&amp;[16-April]" c="16-April"/>
              <i n="[Range].[Date 2].&amp;[17-April]" c="17-April"/>
            </range>
          </ranges>
        </level>
      </levels>
      <selections count="1">
        <selection n="[Range].[Date 2].[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2" xr10:uid="{5E2196A4-5C64-44C8-A757-EE621547CD4B}" cache="Slicer_Payment_Method" caption="Payment Method" columnCount="2" level="1" style="Slicer Style 1" rowHeight="241300"/>
  <slicer name="Date " xr10:uid="{39B26C69-0AB2-4AB7-9079-EBA2C23958CD}" cache="Slicer_Date_2" caption="Date " columnCount="3" level="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817D50-BC2A-4D19-90FF-0986A5E0C74E}" name="Table2" displayName="Table2" ref="A1:C9" totalsRowShown="0" headerRowDxfId="6780" headerRowBorderDxfId="6779" tableBorderDxfId="6778" totalsRowBorderDxfId="6777">
  <autoFilter ref="A1:C9" xr:uid="{64817D50-BC2A-4D19-90FF-0986A5E0C74E}"/>
  <tableColumns count="3">
    <tableColumn id="1" xr3:uid="{74FD10C2-49C5-42A6-9E45-3CED5FF25B71}" name="Category" dataDxfId="6776"/>
    <tableColumn id="2" xr3:uid="{1FCEB2D6-69A1-4597-A2AB-A2BE278BDA64}" name="Budget Limit" dataDxfId="6775"/>
    <tableColumn id="3" xr3:uid="{87EDF687-AB3C-4502-975D-7CE29F591511}" name="Description" dataDxfId="6774"/>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4" totalsRowShown="0" headerRowDxfId="6773" dataDxfId="6771" headerRowBorderDxfId="6772" tableBorderDxfId="6770" totalsRowBorderDxfId="6769">
  <autoFilter ref="A1:D4" xr:uid="{00000000-0009-0000-0100-000001000000}"/>
  <tableColumns count="4">
    <tableColumn id="1" xr3:uid="{00000000-0010-0000-0000-000001000000}" name="Date" dataDxfId="6768"/>
    <tableColumn id="2" xr3:uid="{00000000-0010-0000-0000-000002000000}" name="Source" dataDxfId="6767"/>
    <tableColumn id="3" xr3:uid="{00000000-0010-0000-0000-000003000000}" name="Amount" dataDxfId="6766"/>
    <tableColumn id="4" xr3:uid="{00000000-0010-0000-0000-000004000000}" name="Notes" dataDxfId="6765"/>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1"/>
  <sheetViews>
    <sheetView showGridLines="0" tabSelected="1" zoomScale="70" zoomScaleNormal="70" workbookViewId="0">
      <selection activeCell="M11" sqref="M11"/>
    </sheetView>
  </sheetViews>
  <sheetFormatPr defaultColWidth="0" defaultRowHeight="15" x14ac:dyDescent="0.25"/>
  <cols>
    <col min="1" max="17" width="9.140625" customWidth="1"/>
    <col min="19" max="16384" width="9.140625" hidden="1"/>
  </cols>
  <sheetData>
    <row r="1" spans="1:17" ht="16.5" customHeight="1" x14ac:dyDescent="0.25">
      <c r="A1" s="6"/>
      <c r="B1" s="6"/>
      <c r="C1" s="6"/>
      <c r="D1" s="6"/>
      <c r="E1" s="6"/>
      <c r="F1" s="6"/>
      <c r="G1" s="6"/>
      <c r="H1" s="6"/>
      <c r="I1" s="6"/>
      <c r="J1" s="6"/>
      <c r="K1" s="6"/>
      <c r="L1" s="6"/>
      <c r="M1" s="6"/>
      <c r="N1" s="6"/>
      <c r="O1" s="6"/>
      <c r="P1" s="6"/>
      <c r="Q1" s="6"/>
    </row>
    <row r="2" spans="1:17" x14ac:dyDescent="0.25">
      <c r="A2" s="6"/>
      <c r="B2" s="6"/>
      <c r="C2" s="6"/>
      <c r="D2" s="6"/>
      <c r="E2" s="6"/>
      <c r="F2" s="6"/>
      <c r="G2" s="6"/>
      <c r="H2" s="6"/>
      <c r="I2" s="6"/>
      <c r="J2" s="6"/>
      <c r="K2" s="6"/>
      <c r="L2" s="6"/>
      <c r="M2" s="6"/>
      <c r="N2" s="6"/>
      <c r="O2" s="6"/>
      <c r="P2" s="6"/>
      <c r="Q2" s="6"/>
    </row>
    <row r="3" spans="1:17" x14ac:dyDescent="0.25">
      <c r="A3" s="6"/>
      <c r="B3" s="6"/>
      <c r="C3" s="6"/>
      <c r="D3" s="6"/>
      <c r="E3" s="6"/>
      <c r="F3" s="6"/>
      <c r="G3" s="6"/>
      <c r="H3" s="6"/>
      <c r="I3" s="6"/>
      <c r="J3" s="6"/>
      <c r="K3" s="6"/>
      <c r="L3" s="6"/>
      <c r="M3" s="6"/>
      <c r="N3" s="6"/>
      <c r="O3" s="6"/>
      <c r="P3" s="6"/>
      <c r="Q3" s="6"/>
    </row>
    <row r="4" spans="1:17" ht="21.6" customHeight="1" x14ac:dyDescent="0.25">
      <c r="A4" s="6"/>
      <c r="B4" s="6"/>
      <c r="C4" s="6"/>
      <c r="D4" s="6"/>
      <c r="E4" s="6"/>
      <c r="F4" s="6"/>
      <c r="G4" s="6"/>
      <c r="H4" s="6"/>
      <c r="I4" s="6"/>
      <c r="J4" s="6"/>
      <c r="K4" s="6"/>
      <c r="L4" s="6"/>
      <c r="M4" s="6"/>
      <c r="N4" s="6"/>
      <c r="O4" s="6"/>
      <c r="P4" s="6"/>
      <c r="Q4" s="6"/>
    </row>
    <row r="5" spans="1:17" ht="15.95" customHeight="1" x14ac:dyDescent="0.25">
      <c r="A5" s="6"/>
      <c r="B5" s="6"/>
      <c r="C5" s="6"/>
      <c r="D5" s="6"/>
      <c r="E5" s="6"/>
      <c r="F5" s="6"/>
      <c r="G5" s="6"/>
      <c r="H5" s="6"/>
      <c r="I5" s="6"/>
      <c r="J5" s="6"/>
      <c r="K5" s="6"/>
      <c r="L5" s="6"/>
      <c r="M5" s="6"/>
      <c r="N5" s="6"/>
      <c r="O5" s="6"/>
      <c r="P5" s="6"/>
      <c r="Q5" s="6"/>
    </row>
    <row r="6" spans="1:17" x14ac:dyDescent="0.25">
      <c r="A6" s="6"/>
      <c r="B6" s="6"/>
      <c r="C6" s="6"/>
      <c r="D6" s="6"/>
      <c r="E6" s="6"/>
      <c r="F6" s="6"/>
      <c r="G6" s="6"/>
      <c r="H6" s="6"/>
      <c r="I6" s="6"/>
      <c r="J6" s="6"/>
      <c r="K6" s="6"/>
      <c r="L6" s="6"/>
      <c r="M6" s="6"/>
      <c r="N6" s="6"/>
      <c r="O6" s="6"/>
      <c r="P6" s="6"/>
      <c r="Q6" s="6"/>
    </row>
    <row r="7" spans="1:17" x14ac:dyDescent="0.25">
      <c r="A7" s="6"/>
      <c r="B7" s="6"/>
      <c r="C7" s="6"/>
      <c r="D7" s="6"/>
      <c r="E7" s="6"/>
      <c r="F7" s="6"/>
      <c r="G7" s="6"/>
      <c r="H7" s="6"/>
      <c r="I7" s="6"/>
      <c r="J7" s="6"/>
      <c r="K7" s="6"/>
      <c r="L7" s="6"/>
      <c r="M7" s="6"/>
      <c r="N7" s="6"/>
      <c r="O7" s="6"/>
      <c r="P7" s="6"/>
      <c r="Q7" s="6"/>
    </row>
    <row r="8" spans="1:17" x14ac:dyDescent="0.25">
      <c r="A8" s="6"/>
      <c r="B8" s="6"/>
      <c r="C8" s="6"/>
      <c r="D8" s="6"/>
      <c r="E8" s="6"/>
      <c r="F8" s="6"/>
      <c r="G8" s="6"/>
      <c r="H8" s="6"/>
      <c r="I8" s="6"/>
      <c r="J8" s="6"/>
      <c r="K8" s="6"/>
      <c r="L8" s="6"/>
      <c r="M8" s="6"/>
      <c r="N8" s="6"/>
      <c r="O8" s="6"/>
      <c r="P8" s="6"/>
      <c r="Q8" s="6"/>
    </row>
    <row r="9" spans="1:17" x14ac:dyDescent="0.25">
      <c r="A9" s="6"/>
      <c r="B9" s="6"/>
      <c r="C9" s="6"/>
      <c r="D9" s="6"/>
      <c r="E9" s="6"/>
      <c r="F9" s="6"/>
      <c r="G9" s="6"/>
      <c r="H9" s="6"/>
      <c r="I9" s="6"/>
      <c r="J9" s="6"/>
      <c r="K9" s="6"/>
      <c r="L9" s="6"/>
      <c r="M9" s="6"/>
      <c r="N9" s="6"/>
      <c r="O9" s="6"/>
      <c r="P9" s="6"/>
      <c r="Q9" s="6"/>
    </row>
    <row r="10" spans="1:17" x14ac:dyDescent="0.25">
      <c r="A10" s="6"/>
      <c r="B10" s="6"/>
      <c r="C10" s="6"/>
      <c r="D10" s="6"/>
      <c r="E10" s="6"/>
      <c r="F10" s="6"/>
      <c r="G10" s="6"/>
      <c r="H10" s="6"/>
      <c r="I10" s="6"/>
      <c r="J10" s="6"/>
      <c r="K10" s="6"/>
      <c r="L10" s="6"/>
      <c r="M10" s="6"/>
      <c r="N10" s="6"/>
      <c r="O10" s="6"/>
      <c r="P10" s="6"/>
      <c r="Q10" s="6"/>
    </row>
    <row r="11" spans="1:17" x14ac:dyDescent="0.25">
      <c r="A11" s="6"/>
      <c r="B11" s="6"/>
      <c r="C11" s="6"/>
      <c r="D11" s="6"/>
      <c r="E11" s="6"/>
      <c r="F11" s="6"/>
      <c r="G11" s="6"/>
      <c r="H11" s="6"/>
      <c r="I11" s="6"/>
      <c r="J11" s="6"/>
      <c r="K11" s="6"/>
      <c r="L11" s="6"/>
      <c r="M11" s="6"/>
      <c r="N11" s="6"/>
      <c r="O11" s="6"/>
      <c r="P11" s="6"/>
      <c r="Q11" s="6"/>
    </row>
    <row r="12" spans="1:17" x14ac:dyDescent="0.25">
      <c r="A12" s="6"/>
      <c r="B12" s="6"/>
      <c r="C12" s="6"/>
      <c r="D12" s="6"/>
      <c r="E12" s="6"/>
      <c r="F12" s="6"/>
      <c r="G12" s="6"/>
      <c r="H12" s="6"/>
      <c r="I12" s="6"/>
      <c r="J12" s="6"/>
      <c r="K12" s="6"/>
      <c r="L12" s="6"/>
      <c r="M12" s="6"/>
      <c r="N12" s="6"/>
      <c r="O12" s="6"/>
      <c r="P12" s="6"/>
      <c r="Q12" s="6"/>
    </row>
    <row r="13" spans="1:17" x14ac:dyDescent="0.25">
      <c r="A13" s="6"/>
      <c r="B13" s="6"/>
      <c r="C13" s="6"/>
      <c r="D13" s="6"/>
      <c r="E13" s="6"/>
      <c r="F13" s="6"/>
      <c r="G13" s="6"/>
      <c r="H13" s="6"/>
      <c r="I13" s="6"/>
      <c r="J13" s="6"/>
      <c r="K13" s="6"/>
      <c r="L13" s="6"/>
      <c r="M13" s="6"/>
      <c r="N13" s="6"/>
      <c r="O13" s="6"/>
      <c r="P13" s="6"/>
      <c r="Q13" s="6"/>
    </row>
    <row r="14" spans="1:17" x14ac:dyDescent="0.25">
      <c r="A14" s="6"/>
      <c r="B14" s="6"/>
      <c r="C14" s="6"/>
      <c r="D14" s="6"/>
      <c r="E14" s="6"/>
      <c r="F14" s="6"/>
      <c r="G14" s="6"/>
      <c r="H14" s="6"/>
      <c r="I14" s="6"/>
      <c r="J14" s="6"/>
      <c r="K14" s="6"/>
      <c r="L14" s="6"/>
      <c r="M14" s="6"/>
      <c r="N14" s="6"/>
      <c r="O14" s="6"/>
      <c r="P14" s="6"/>
      <c r="Q14" s="6"/>
    </row>
    <row r="15" spans="1:17" x14ac:dyDescent="0.25">
      <c r="A15" s="6"/>
      <c r="B15" s="6"/>
      <c r="C15" s="6"/>
      <c r="D15" s="6"/>
      <c r="E15" s="6"/>
      <c r="F15" s="6"/>
      <c r="G15" s="6"/>
      <c r="H15" s="6"/>
      <c r="I15" s="6"/>
      <c r="J15" s="6"/>
      <c r="K15" s="6"/>
      <c r="L15" s="6"/>
      <c r="M15" s="6"/>
      <c r="N15" s="6"/>
      <c r="O15" s="6"/>
      <c r="P15" s="6"/>
      <c r="Q15" s="6"/>
    </row>
    <row r="16" spans="1:17" x14ac:dyDescent="0.25">
      <c r="A16" s="6"/>
      <c r="B16" s="6"/>
      <c r="C16" s="6"/>
      <c r="D16" s="6"/>
      <c r="E16" s="6"/>
      <c r="F16" s="6"/>
      <c r="G16" s="6"/>
      <c r="H16" s="6"/>
      <c r="I16" s="6"/>
      <c r="J16" s="6"/>
      <c r="K16" s="6"/>
      <c r="L16" s="6"/>
      <c r="M16" s="6"/>
      <c r="N16" s="6"/>
      <c r="O16" s="6"/>
      <c r="P16" s="6"/>
      <c r="Q16" s="6"/>
    </row>
    <row r="17" spans="1:18" x14ac:dyDescent="0.25">
      <c r="A17" s="6"/>
      <c r="B17" s="6"/>
      <c r="C17" s="6"/>
      <c r="D17" s="6"/>
      <c r="E17" s="6"/>
      <c r="F17" s="6"/>
      <c r="G17" s="6"/>
      <c r="H17" s="6"/>
      <c r="I17" s="6"/>
      <c r="J17" s="6"/>
      <c r="K17" s="6"/>
      <c r="L17" s="6"/>
      <c r="M17" s="6"/>
      <c r="N17" s="6"/>
      <c r="O17" s="6"/>
      <c r="P17" s="6"/>
      <c r="Q17" s="6"/>
    </row>
    <row r="18" spans="1:18" x14ac:dyDescent="0.25">
      <c r="A18" s="6"/>
      <c r="B18" s="6"/>
      <c r="C18" s="6"/>
      <c r="D18" s="6"/>
      <c r="E18" s="6"/>
      <c r="F18" s="6"/>
      <c r="G18" s="6"/>
      <c r="H18" s="6"/>
      <c r="I18" s="6"/>
      <c r="J18" s="6"/>
      <c r="K18" s="6"/>
      <c r="L18" s="6"/>
      <c r="M18" s="6"/>
      <c r="N18" s="6"/>
      <c r="O18" s="6"/>
      <c r="P18" s="6"/>
      <c r="Q18" s="6"/>
    </row>
    <row r="19" spans="1:18" x14ac:dyDescent="0.25">
      <c r="A19" s="6"/>
      <c r="B19" s="6"/>
      <c r="C19" s="6"/>
      <c r="D19" s="6"/>
      <c r="E19" s="6"/>
      <c r="F19" s="6"/>
      <c r="G19" s="6"/>
      <c r="H19" s="6"/>
      <c r="I19" s="6"/>
      <c r="J19" s="6"/>
      <c r="K19" s="6"/>
      <c r="L19" s="6"/>
      <c r="M19" s="6"/>
      <c r="N19" s="6"/>
      <c r="O19" s="6"/>
      <c r="P19" s="6"/>
      <c r="Q19" s="6"/>
      <c r="R19" s="24"/>
    </row>
    <row r="20" spans="1:18" x14ac:dyDescent="0.25">
      <c r="A20" s="6"/>
      <c r="B20" s="6"/>
      <c r="C20" s="6"/>
      <c r="D20" s="6"/>
      <c r="E20" s="6"/>
      <c r="F20" s="6"/>
      <c r="G20" s="6"/>
      <c r="H20" s="6"/>
      <c r="I20" s="6"/>
      <c r="J20" s="6"/>
      <c r="K20" s="6"/>
      <c r="L20" s="6"/>
      <c r="M20" s="6"/>
      <c r="N20" s="6"/>
      <c r="O20" s="6"/>
      <c r="P20" s="6"/>
      <c r="Q20" s="6"/>
    </row>
    <row r="21" spans="1:18" x14ac:dyDescent="0.25">
      <c r="A21" s="6"/>
      <c r="B21" s="6"/>
      <c r="C21" s="6"/>
      <c r="D21" s="6"/>
      <c r="E21" s="6"/>
      <c r="F21" s="6"/>
      <c r="G21" s="6"/>
      <c r="H21" s="6"/>
      <c r="I21" s="6"/>
      <c r="J21" s="6"/>
      <c r="K21" s="6"/>
      <c r="L21" s="6"/>
      <c r="M21" s="6"/>
      <c r="N21" s="6"/>
      <c r="O21" s="6"/>
      <c r="P21" s="6"/>
      <c r="Q21" s="6"/>
    </row>
    <row r="22" spans="1:18" x14ac:dyDescent="0.25">
      <c r="A22" s="6"/>
      <c r="B22" s="6"/>
      <c r="C22" s="6"/>
      <c r="D22" s="6"/>
      <c r="E22" s="6"/>
      <c r="F22" s="6"/>
      <c r="G22" s="6"/>
      <c r="H22" s="6"/>
      <c r="I22" s="6"/>
      <c r="J22" s="6"/>
      <c r="K22" s="6"/>
      <c r="L22" s="6"/>
      <c r="M22" s="6"/>
      <c r="N22" s="6"/>
      <c r="O22" s="6"/>
      <c r="P22" s="6"/>
      <c r="Q22" s="6"/>
    </row>
    <row r="23" spans="1:18" x14ac:dyDescent="0.25">
      <c r="A23" s="6"/>
      <c r="B23" s="6"/>
      <c r="C23" s="6"/>
      <c r="D23" s="6"/>
      <c r="E23" s="6"/>
      <c r="F23" s="6"/>
      <c r="G23" s="6"/>
      <c r="H23" s="6"/>
      <c r="I23" s="6"/>
      <c r="J23" s="6"/>
      <c r="K23" s="6"/>
      <c r="L23" s="6"/>
      <c r="M23" s="6"/>
      <c r="N23" s="6"/>
      <c r="O23" s="6"/>
      <c r="P23" s="6"/>
      <c r="Q23" s="6"/>
    </row>
    <row r="24" spans="1:18" x14ac:dyDescent="0.25">
      <c r="A24" s="6"/>
      <c r="B24" s="6"/>
      <c r="C24" s="6"/>
      <c r="D24" s="6"/>
      <c r="E24" s="6"/>
      <c r="F24" s="6"/>
      <c r="G24" s="6"/>
      <c r="H24" s="6"/>
      <c r="I24" s="6"/>
      <c r="J24" s="6"/>
      <c r="K24" s="6"/>
      <c r="L24" s="6"/>
      <c r="M24" s="6"/>
      <c r="N24" s="6"/>
      <c r="O24" s="6"/>
      <c r="P24" s="6"/>
      <c r="Q24" s="6"/>
    </row>
    <row r="25" spans="1:18" x14ac:dyDescent="0.25">
      <c r="A25" s="6"/>
      <c r="B25" s="6"/>
      <c r="C25" s="6"/>
      <c r="D25" s="6"/>
      <c r="E25" s="6"/>
      <c r="F25" s="6"/>
      <c r="G25" s="6"/>
      <c r="H25" s="6"/>
      <c r="I25" s="6"/>
      <c r="J25" s="6"/>
      <c r="K25" s="6"/>
      <c r="L25" s="6"/>
      <c r="M25" s="6"/>
      <c r="N25" s="6"/>
      <c r="O25" s="6"/>
      <c r="P25" s="6"/>
      <c r="Q25" s="6"/>
    </row>
    <row r="26" spans="1:18" ht="8.1" customHeight="1" x14ac:dyDescent="0.25">
      <c r="A26" s="6"/>
      <c r="B26" s="6"/>
      <c r="C26" s="6"/>
      <c r="D26" s="6"/>
      <c r="E26" s="6"/>
      <c r="F26" s="6"/>
      <c r="G26" s="6"/>
      <c r="H26" s="6"/>
      <c r="I26" s="6"/>
      <c r="J26" s="6"/>
      <c r="K26" s="6"/>
      <c r="L26" s="6"/>
      <c r="M26" s="6"/>
      <c r="N26" s="6"/>
      <c r="O26" s="6"/>
      <c r="P26" s="6"/>
      <c r="Q26" s="6"/>
    </row>
    <row r="27" spans="1:18" x14ac:dyDescent="0.25">
      <c r="A27" s="6"/>
      <c r="B27" s="6"/>
      <c r="C27" s="6"/>
      <c r="D27" s="6"/>
      <c r="E27" s="6"/>
      <c r="F27" s="6"/>
      <c r="G27" s="6"/>
      <c r="H27" s="6"/>
      <c r="I27" s="6"/>
      <c r="J27" s="6"/>
      <c r="K27" s="6"/>
      <c r="L27" s="6"/>
      <c r="M27" s="6"/>
      <c r="N27" s="6"/>
      <c r="O27" s="6"/>
      <c r="P27" s="6"/>
      <c r="Q27" s="6"/>
    </row>
    <row r="28" spans="1:18" x14ac:dyDescent="0.25">
      <c r="A28" s="6"/>
      <c r="B28" s="6"/>
      <c r="C28" s="6"/>
      <c r="D28" s="6"/>
      <c r="E28" s="6"/>
      <c r="F28" s="6"/>
      <c r="G28" s="6"/>
      <c r="H28" s="6"/>
      <c r="I28" s="6"/>
      <c r="J28" s="6"/>
      <c r="K28" s="6"/>
      <c r="L28" s="6"/>
      <c r="M28" s="6"/>
      <c r="N28" s="6"/>
      <c r="O28" s="6"/>
      <c r="P28" s="6"/>
      <c r="Q28" s="6"/>
    </row>
    <row r="29" spans="1:18" x14ac:dyDescent="0.25">
      <c r="A29" s="6"/>
      <c r="B29" s="6"/>
      <c r="C29" s="6"/>
      <c r="D29" s="6"/>
      <c r="E29" s="6"/>
      <c r="F29" s="6"/>
      <c r="G29" s="6"/>
      <c r="H29" s="6"/>
      <c r="I29" s="6"/>
      <c r="J29" s="6"/>
      <c r="K29" s="6"/>
      <c r="L29" s="6"/>
      <c r="M29" s="6"/>
      <c r="N29" s="6"/>
      <c r="O29" s="6"/>
      <c r="P29" s="6"/>
      <c r="Q29" s="6"/>
    </row>
    <row r="30" spans="1:18" x14ac:dyDescent="0.25">
      <c r="A30" s="6"/>
      <c r="B30" s="6"/>
      <c r="C30" s="6"/>
      <c r="D30" s="6"/>
      <c r="E30" s="6"/>
      <c r="F30" s="6"/>
      <c r="G30" s="6"/>
      <c r="H30" s="6"/>
      <c r="I30" s="6"/>
      <c r="J30" s="6"/>
      <c r="K30" s="6"/>
      <c r="L30" s="6"/>
      <c r="M30" s="6"/>
      <c r="N30" s="6"/>
      <c r="O30" s="6"/>
      <c r="P30" s="6"/>
      <c r="Q30" s="6"/>
    </row>
    <row r="31" spans="1:18" x14ac:dyDescent="0.25">
      <c r="A31" s="6"/>
      <c r="B31" s="6"/>
      <c r="C31" s="6"/>
      <c r="D31" s="6"/>
      <c r="E31" s="6"/>
      <c r="F31" s="6"/>
      <c r="G31" s="6"/>
      <c r="H31" s="6"/>
      <c r="I31" s="6"/>
      <c r="J31" s="6"/>
      <c r="K31" s="6"/>
      <c r="L31" s="6"/>
      <c r="M31" s="6"/>
      <c r="N31" s="6"/>
      <c r="O31" s="6"/>
      <c r="P31" s="6"/>
      <c r="Q31" s="6"/>
    </row>
    <row r="32" spans="1:18" x14ac:dyDescent="0.25">
      <c r="A32" s="6"/>
      <c r="B32" s="6"/>
      <c r="C32" s="6"/>
      <c r="D32" s="6"/>
      <c r="E32" s="6"/>
      <c r="F32" s="6"/>
      <c r="G32" s="6"/>
      <c r="H32" s="6"/>
      <c r="I32" s="6"/>
      <c r="J32" s="6"/>
      <c r="K32" s="6"/>
      <c r="L32" s="6"/>
      <c r="M32" s="6"/>
      <c r="N32" s="6"/>
      <c r="O32" s="6"/>
      <c r="P32" s="6"/>
      <c r="Q32" s="6"/>
    </row>
    <row r="33" spans="1:17" x14ac:dyDescent="0.25">
      <c r="A33" s="6"/>
      <c r="B33" s="6"/>
      <c r="C33" s="6"/>
      <c r="D33" s="6"/>
      <c r="E33" s="6"/>
      <c r="F33" s="6"/>
      <c r="G33" s="6"/>
      <c r="H33" s="6"/>
      <c r="I33" s="6"/>
      <c r="J33" s="6"/>
      <c r="K33" s="6"/>
      <c r="L33" s="6"/>
      <c r="M33" s="6"/>
      <c r="N33" s="6"/>
      <c r="O33" s="6"/>
      <c r="P33" s="6"/>
      <c r="Q33" s="6"/>
    </row>
    <row r="34" spans="1:17" x14ac:dyDescent="0.25">
      <c r="A34" s="6"/>
      <c r="B34" s="6"/>
      <c r="C34" s="6"/>
      <c r="D34" s="6"/>
      <c r="E34" s="6"/>
      <c r="F34" s="6"/>
      <c r="G34" s="6"/>
      <c r="H34" s="6"/>
      <c r="I34" s="6"/>
      <c r="J34" s="6"/>
      <c r="K34" s="6"/>
      <c r="L34" s="6"/>
      <c r="M34" s="6"/>
      <c r="N34" s="6"/>
      <c r="O34" s="6"/>
      <c r="P34" s="6"/>
      <c r="Q34" s="6"/>
    </row>
    <row r="35" spans="1:17" x14ac:dyDescent="0.25">
      <c r="A35" s="6"/>
      <c r="B35" s="6"/>
      <c r="C35" s="6"/>
      <c r="D35" s="6"/>
      <c r="E35" s="6"/>
      <c r="F35" s="6"/>
      <c r="G35" s="6"/>
      <c r="H35" s="6"/>
      <c r="I35" s="6"/>
      <c r="J35" s="6"/>
      <c r="K35" s="6"/>
      <c r="L35" s="6"/>
      <c r="M35" s="6"/>
      <c r="N35" s="6"/>
      <c r="O35" s="6"/>
      <c r="P35" s="6"/>
      <c r="Q35" s="6"/>
    </row>
    <row r="36" spans="1:17" x14ac:dyDescent="0.25">
      <c r="A36" s="6"/>
      <c r="B36" s="6"/>
      <c r="C36" s="6"/>
      <c r="D36" s="6"/>
      <c r="E36" s="6"/>
      <c r="F36" s="6"/>
      <c r="G36" s="6"/>
      <c r="H36" s="6"/>
      <c r="I36" s="6"/>
      <c r="J36" s="6"/>
      <c r="K36" s="6"/>
      <c r="L36" s="6"/>
      <c r="M36" s="6"/>
      <c r="N36" s="6"/>
      <c r="O36" s="6"/>
      <c r="P36" s="6"/>
      <c r="Q36" s="6"/>
    </row>
    <row r="37" spans="1:17" x14ac:dyDescent="0.25">
      <c r="A37" s="6"/>
      <c r="B37" s="6"/>
      <c r="C37" s="6"/>
      <c r="D37" s="6"/>
      <c r="E37" s="6"/>
      <c r="F37" s="6"/>
      <c r="G37" s="6"/>
      <c r="H37" s="6"/>
      <c r="I37" s="6"/>
      <c r="J37" s="6"/>
      <c r="K37" s="6"/>
      <c r="L37" s="6"/>
      <c r="M37" s="6"/>
      <c r="N37" s="6"/>
      <c r="O37" s="6"/>
      <c r="P37" s="6"/>
      <c r="Q37" s="6"/>
    </row>
    <row r="38" spans="1:17" x14ac:dyDescent="0.25">
      <c r="A38" s="6"/>
      <c r="B38" s="6"/>
      <c r="C38" s="6"/>
      <c r="D38" s="6"/>
      <c r="E38" s="6"/>
      <c r="F38" s="6"/>
      <c r="G38" s="6"/>
      <c r="H38" s="6"/>
      <c r="I38" s="6"/>
      <c r="J38" s="6"/>
      <c r="K38" s="6"/>
      <c r="L38" s="6"/>
      <c r="M38" s="6"/>
      <c r="N38" s="6"/>
      <c r="O38" s="6"/>
      <c r="P38" s="6"/>
      <c r="Q38" s="6"/>
    </row>
    <row r="39" spans="1:17" x14ac:dyDescent="0.25">
      <c r="A39" s="6"/>
      <c r="B39" s="6"/>
      <c r="C39" s="6"/>
      <c r="D39" s="6"/>
      <c r="E39" s="6"/>
      <c r="F39" s="6"/>
      <c r="G39" s="6"/>
      <c r="H39" s="6"/>
      <c r="I39" s="6"/>
      <c r="J39" s="6"/>
      <c r="K39" s="6"/>
      <c r="L39" s="6"/>
      <c r="M39" s="6"/>
      <c r="N39" s="6"/>
      <c r="O39" s="6"/>
      <c r="P39" s="6"/>
      <c r="Q39" s="6"/>
    </row>
    <row r="40" spans="1:17" ht="6.6" customHeight="1" x14ac:dyDescent="0.25">
      <c r="A40" s="6"/>
      <c r="B40" s="6"/>
      <c r="C40" s="6"/>
      <c r="D40" s="6"/>
      <c r="E40" s="6"/>
      <c r="F40" s="6"/>
      <c r="G40" s="6"/>
      <c r="H40" s="6"/>
      <c r="I40" s="6"/>
      <c r="J40" s="6"/>
      <c r="K40" s="6"/>
      <c r="L40" s="6"/>
      <c r="M40" s="6"/>
      <c r="N40" s="6"/>
      <c r="O40" s="6"/>
      <c r="P40" s="6"/>
      <c r="Q40" s="6"/>
    </row>
    <row r="41" spans="1:17" x14ac:dyDescent="0.25">
      <c r="M41" s="1"/>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W60"/>
  <sheetViews>
    <sheetView showGridLines="0" topLeftCell="A15" zoomScale="90" zoomScaleNormal="90" zoomScaleSheetLayoutView="90" workbookViewId="0"/>
  </sheetViews>
  <sheetFormatPr defaultRowHeight="15" x14ac:dyDescent="0.25"/>
  <cols>
    <col min="1" max="1" width="14" style="3" bestFit="1" customWidth="1"/>
    <col min="2" max="2" width="14.85546875" bestFit="1" customWidth="1"/>
    <col min="3" max="3" width="24.85546875" bestFit="1" customWidth="1"/>
    <col min="4" max="4" width="14.28515625" bestFit="1" customWidth="1"/>
    <col min="5" max="6" width="14" bestFit="1" customWidth="1"/>
    <col min="7" max="7" width="11.5703125" bestFit="1" customWidth="1"/>
    <col min="8" max="12" width="18.42578125" bestFit="1" customWidth="1"/>
    <col min="13" max="13" width="12.140625" bestFit="1" customWidth="1"/>
    <col min="14" max="14" width="14.140625" bestFit="1" customWidth="1"/>
    <col min="15" max="15" width="12.7109375" bestFit="1" customWidth="1"/>
    <col min="16" max="16" width="9.5703125" bestFit="1" customWidth="1"/>
    <col min="17" max="17" width="18.42578125" bestFit="1" customWidth="1"/>
    <col min="18" max="18" width="12" style="1" bestFit="1" customWidth="1"/>
    <col min="19" max="19" width="13.140625" bestFit="1" customWidth="1"/>
    <col min="21" max="21" width="13.42578125" style="1" bestFit="1" customWidth="1"/>
    <col min="22" max="22" width="8.140625" bestFit="1" customWidth="1"/>
    <col min="23" max="23" width="5.42578125" bestFit="1" customWidth="1"/>
    <col min="24" max="24" width="23.42578125" bestFit="1" customWidth="1"/>
  </cols>
  <sheetData>
    <row r="3" spans="1:19" x14ac:dyDescent="0.25">
      <c r="A3" s="3" t="s">
        <v>87</v>
      </c>
      <c r="B3" t="s">
        <v>93</v>
      </c>
      <c r="C3" t="s">
        <v>94</v>
      </c>
      <c r="D3" s="8" t="s">
        <v>89</v>
      </c>
      <c r="E3" s="8" t="s">
        <v>95</v>
      </c>
      <c r="F3" s="8" t="s">
        <v>90</v>
      </c>
    </row>
    <row r="4" spans="1:19" x14ac:dyDescent="0.25">
      <c r="A4" s="14">
        <v>331132.42</v>
      </c>
      <c r="B4" s="10">
        <v>50</v>
      </c>
      <c r="C4" s="10">
        <v>17</v>
      </c>
      <c r="D4" s="12">
        <f>MAX(O7:O14)</f>
        <v>73732.91</v>
      </c>
      <c r="E4" s="12">
        <f>GETPIVOTDATA("[Measures].[Sum of Amount]",$A$3)/GETPIVOTDATA("[Measures].[Count of Amount]",$A$3)</f>
        <v>6622.6484</v>
      </c>
      <c r="F4" s="12">
        <f>GETPIVOTDATA("[Measures].[Sum of Amount]",$A$4)/GETPIVOTDATA("[Measures].[Distinct Count of Date]",$A$3)</f>
        <v>19478.377647058824</v>
      </c>
    </row>
    <row r="6" spans="1:19" x14ac:dyDescent="0.25">
      <c r="M6" s="15"/>
      <c r="N6" s="69" t="s">
        <v>14</v>
      </c>
      <c r="O6" s="69" t="s">
        <v>138</v>
      </c>
      <c r="P6" s="69" t="s">
        <v>96</v>
      </c>
    </row>
    <row r="7" spans="1:19" x14ac:dyDescent="0.25">
      <c r="M7" s="16"/>
      <c r="N7" s="70" t="s">
        <v>6</v>
      </c>
      <c r="O7" s="68">
        <v>73732.91</v>
      </c>
      <c r="P7" s="71">
        <v>0.22266895521737198</v>
      </c>
      <c r="R7" s="59" t="s">
        <v>14</v>
      </c>
      <c r="S7" s="60" t="s">
        <v>99</v>
      </c>
    </row>
    <row r="8" spans="1:19" x14ac:dyDescent="0.25">
      <c r="A8" s="7" t="s">
        <v>91</v>
      </c>
      <c r="B8" t="s">
        <v>87</v>
      </c>
      <c r="C8" t="s">
        <v>88</v>
      </c>
      <c r="E8" s="7" t="s">
        <v>91</v>
      </c>
      <c r="F8" t="s">
        <v>87</v>
      </c>
      <c r="M8" s="16"/>
      <c r="N8" s="72" t="s">
        <v>4</v>
      </c>
      <c r="O8" s="68">
        <v>50433.85</v>
      </c>
      <c r="P8" s="71">
        <v>0.1523071948074429</v>
      </c>
      <c r="R8" s="61" t="s">
        <v>6</v>
      </c>
      <c r="S8" s="64">
        <v>73732.91</v>
      </c>
    </row>
    <row r="9" spans="1:19" x14ac:dyDescent="0.25">
      <c r="A9" s="1" t="s">
        <v>1</v>
      </c>
      <c r="B9" s="13">
        <v>122229.73</v>
      </c>
      <c r="C9" s="11">
        <v>0.36</v>
      </c>
      <c r="E9" s="1" t="s">
        <v>1</v>
      </c>
      <c r="F9" s="13">
        <v>122229.73</v>
      </c>
      <c r="M9" s="16"/>
      <c r="N9" s="73" t="s">
        <v>10</v>
      </c>
      <c r="O9" s="68">
        <v>43402.89</v>
      </c>
      <c r="P9" s="71">
        <v>0.13107411832402277</v>
      </c>
      <c r="R9" s="62" t="s">
        <v>4</v>
      </c>
      <c r="S9" s="65">
        <v>50433.85</v>
      </c>
    </row>
    <row r="10" spans="1:19" x14ac:dyDescent="0.25">
      <c r="A10" s="1" t="s">
        <v>3</v>
      </c>
      <c r="B10" s="13">
        <v>106306.8</v>
      </c>
      <c r="C10" s="11">
        <v>0.32</v>
      </c>
      <c r="E10" s="1" t="s">
        <v>3</v>
      </c>
      <c r="F10" s="13">
        <v>106306.8</v>
      </c>
      <c r="M10" s="16"/>
      <c r="N10" s="74" t="s">
        <v>9</v>
      </c>
      <c r="O10" s="68">
        <v>37395.919999999998</v>
      </c>
      <c r="P10" s="71">
        <v>0.11293343007610067</v>
      </c>
      <c r="R10" s="62" t="s">
        <v>10</v>
      </c>
      <c r="S10" s="65">
        <v>43402.89</v>
      </c>
    </row>
    <row r="11" spans="1:19" x14ac:dyDescent="0.25">
      <c r="A11" s="1" t="s">
        <v>7</v>
      </c>
      <c r="B11" s="13">
        <v>42924.28</v>
      </c>
      <c r="C11" s="11">
        <v>0.16</v>
      </c>
      <c r="E11" s="1" t="s">
        <v>5</v>
      </c>
      <c r="F11" s="13">
        <v>59671.61</v>
      </c>
      <c r="M11" s="16"/>
      <c r="N11" s="75" t="s">
        <v>8</v>
      </c>
      <c r="O11" s="68">
        <v>35842.400000000001</v>
      </c>
      <c r="P11" s="71">
        <v>0.10824189307709588</v>
      </c>
      <c r="R11" s="62" t="s">
        <v>9</v>
      </c>
      <c r="S11" s="65">
        <v>37395.919999999998</v>
      </c>
    </row>
    <row r="12" spans="1:19" x14ac:dyDescent="0.25">
      <c r="A12" s="1" t="s">
        <v>5</v>
      </c>
      <c r="B12" s="13">
        <v>59671.61</v>
      </c>
      <c r="C12" s="11">
        <v>0.16</v>
      </c>
      <c r="E12" s="1" t="s">
        <v>7</v>
      </c>
      <c r="F12" s="13">
        <v>42924.28</v>
      </c>
      <c r="M12" s="16"/>
      <c r="N12" s="76" t="s">
        <v>0</v>
      </c>
      <c r="O12" s="68">
        <v>35616.339999999997</v>
      </c>
      <c r="P12" s="71">
        <v>0.10755920546831385</v>
      </c>
      <c r="R12" s="63" t="s">
        <v>8</v>
      </c>
      <c r="S12" s="66">
        <v>35842.400000000001</v>
      </c>
    </row>
    <row r="13" spans="1:19" x14ac:dyDescent="0.25">
      <c r="A13" s="1" t="s">
        <v>92</v>
      </c>
      <c r="B13" s="12">
        <v>331132.42</v>
      </c>
      <c r="C13" s="11">
        <v>1</v>
      </c>
      <c r="E13" s="1" t="s">
        <v>92</v>
      </c>
      <c r="F13" s="12">
        <v>331132.42</v>
      </c>
      <c r="M13" s="16"/>
      <c r="N13" s="77" t="s">
        <v>2</v>
      </c>
      <c r="O13" s="68">
        <v>34111.49</v>
      </c>
      <c r="P13" s="71">
        <v>0.10301464894316298</v>
      </c>
      <c r="R13" s="59" t="s">
        <v>97</v>
      </c>
      <c r="S13" s="67">
        <v>240807.97</v>
      </c>
    </row>
    <row r="14" spans="1:19" x14ac:dyDescent="0.25">
      <c r="M14" s="16"/>
      <c r="N14" s="78" t="s">
        <v>11</v>
      </c>
      <c r="O14" s="68">
        <v>20596.62</v>
      </c>
      <c r="P14" s="71">
        <v>6.2200554086489022E-2</v>
      </c>
    </row>
    <row r="15" spans="1:19" x14ac:dyDescent="0.25">
      <c r="M15" s="16"/>
      <c r="N15" s="60" t="s">
        <v>97</v>
      </c>
      <c r="O15" s="68">
        <v>331132.42</v>
      </c>
      <c r="P15" s="71">
        <v>1</v>
      </c>
    </row>
    <row r="18" spans="1:23" x14ac:dyDescent="0.25">
      <c r="B18" s="13"/>
    </row>
    <row r="19" spans="1:23" ht="24.75" x14ac:dyDescent="0.25">
      <c r="A19" s="7" t="s">
        <v>12</v>
      </c>
      <c r="B19" s="13" t="s">
        <v>87</v>
      </c>
      <c r="F19" s="18" t="s">
        <v>14</v>
      </c>
      <c r="G19" s="19" t="s">
        <v>99</v>
      </c>
      <c r="J19" s="22"/>
      <c r="K19" s="22"/>
      <c r="U19" s="51" t="s">
        <v>100</v>
      </c>
      <c r="V19" s="52" t="s">
        <v>99</v>
      </c>
      <c r="W19" s="52" t="s">
        <v>96</v>
      </c>
    </row>
    <row r="20" spans="1:23" x14ac:dyDescent="0.25">
      <c r="A20" s="1" t="s">
        <v>103</v>
      </c>
      <c r="B20" s="42">
        <v>27198.58</v>
      </c>
      <c r="F20" s="19" t="s">
        <v>6</v>
      </c>
      <c r="G20" s="20">
        <v>73732.91</v>
      </c>
      <c r="T20" s="48"/>
      <c r="U20" s="53" t="s">
        <v>1</v>
      </c>
      <c r="V20" s="68">
        <v>122229.73</v>
      </c>
      <c r="W20" s="54">
        <v>0.36</v>
      </c>
    </row>
    <row r="21" spans="1:23" x14ac:dyDescent="0.25">
      <c r="A21" s="1" t="s">
        <v>104</v>
      </c>
      <c r="B21" s="42">
        <v>12708.24</v>
      </c>
      <c r="F21" s="19" t="s">
        <v>4</v>
      </c>
      <c r="G21" s="20">
        <v>50433.85</v>
      </c>
      <c r="T21" s="48"/>
      <c r="U21" s="55" t="s">
        <v>3</v>
      </c>
      <c r="V21" s="68">
        <v>106306.8</v>
      </c>
      <c r="W21" s="54">
        <v>0.32</v>
      </c>
    </row>
    <row r="22" spans="1:23" x14ac:dyDescent="0.25">
      <c r="A22" s="1" t="s">
        <v>105</v>
      </c>
      <c r="B22" s="42">
        <v>24887.35</v>
      </c>
      <c r="F22" s="19" t="s">
        <v>10</v>
      </c>
      <c r="G22" s="20">
        <v>43402.89</v>
      </c>
      <c r="T22" s="48"/>
      <c r="U22" s="56" t="s">
        <v>7</v>
      </c>
      <c r="V22" s="68">
        <v>42924.28</v>
      </c>
      <c r="W22" s="54">
        <v>0.16</v>
      </c>
    </row>
    <row r="23" spans="1:23" x14ac:dyDescent="0.25">
      <c r="A23" s="1" t="s">
        <v>106</v>
      </c>
      <c r="B23" s="42">
        <v>5692.27</v>
      </c>
      <c r="F23" s="19" t="s">
        <v>9</v>
      </c>
      <c r="G23" s="20">
        <v>37395.919999999998</v>
      </c>
      <c r="T23" s="48"/>
      <c r="U23" s="57" t="s">
        <v>5</v>
      </c>
      <c r="V23" s="68">
        <v>59671.61</v>
      </c>
      <c r="W23" s="54">
        <v>0.16</v>
      </c>
    </row>
    <row r="24" spans="1:23" x14ac:dyDescent="0.25">
      <c r="A24" s="1" t="s">
        <v>107</v>
      </c>
      <c r="B24" s="42">
        <v>13388.76</v>
      </c>
      <c r="F24" s="19" t="s">
        <v>8</v>
      </c>
      <c r="G24" s="20">
        <v>35842.400000000001</v>
      </c>
      <c r="U24" s="58" t="s">
        <v>101</v>
      </c>
      <c r="V24" s="68">
        <v>331132.42</v>
      </c>
      <c r="W24" s="54">
        <v>1</v>
      </c>
    </row>
    <row r="25" spans="1:23" x14ac:dyDescent="0.25">
      <c r="A25" s="1" t="s">
        <v>108</v>
      </c>
      <c r="B25" s="42">
        <v>2648.81</v>
      </c>
      <c r="F25" s="19" t="s">
        <v>92</v>
      </c>
      <c r="G25" s="20">
        <v>240807.97</v>
      </c>
    </row>
    <row r="26" spans="1:23" x14ac:dyDescent="0.25">
      <c r="A26" s="1" t="s">
        <v>109</v>
      </c>
      <c r="B26" s="42">
        <v>33178.31</v>
      </c>
    </row>
    <row r="27" spans="1:23" x14ac:dyDescent="0.25">
      <c r="A27" s="1" t="s">
        <v>110</v>
      </c>
      <c r="B27" s="42">
        <v>25418.54</v>
      </c>
    </row>
    <row r="28" spans="1:23" x14ac:dyDescent="0.25">
      <c r="A28" s="1" t="s">
        <v>111</v>
      </c>
      <c r="B28" s="42">
        <v>38318</v>
      </c>
      <c r="F28" s="7" t="s">
        <v>14</v>
      </c>
      <c r="G28" t="s">
        <v>98</v>
      </c>
    </row>
    <row r="29" spans="1:23" x14ac:dyDescent="0.25">
      <c r="A29" s="1" t="s">
        <v>112</v>
      </c>
      <c r="B29" s="42">
        <v>7148.86</v>
      </c>
      <c r="F29" s="1" t="s">
        <v>6</v>
      </c>
      <c r="G29" s="9">
        <v>73732.91</v>
      </c>
    </row>
    <row r="30" spans="1:23" x14ac:dyDescent="0.25">
      <c r="A30" s="1" t="s">
        <v>113</v>
      </c>
      <c r="B30" s="42">
        <v>24247.75</v>
      </c>
      <c r="F30" s="1" t="s">
        <v>4</v>
      </c>
      <c r="G30" s="9">
        <v>50433.85</v>
      </c>
    </row>
    <row r="31" spans="1:23" x14ac:dyDescent="0.25">
      <c r="A31" s="1" t="s">
        <v>114</v>
      </c>
      <c r="B31" s="42">
        <v>5939.53</v>
      </c>
      <c r="F31" s="1" t="s">
        <v>10</v>
      </c>
      <c r="G31" s="9">
        <v>43402.89</v>
      </c>
    </row>
    <row r="32" spans="1:23" x14ac:dyDescent="0.25">
      <c r="A32" s="1" t="s">
        <v>115</v>
      </c>
      <c r="B32" s="42">
        <v>19468.28</v>
      </c>
      <c r="F32" s="1" t="s">
        <v>9</v>
      </c>
      <c r="G32" s="9">
        <v>37395.919999999998</v>
      </c>
    </row>
    <row r="33" spans="1:21" x14ac:dyDescent="0.25">
      <c r="A33" s="1" t="s">
        <v>116</v>
      </c>
      <c r="B33" s="42">
        <v>32587.88</v>
      </c>
      <c r="F33" s="1" t="s">
        <v>8</v>
      </c>
      <c r="G33" s="9">
        <v>35842.400000000001</v>
      </c>
    </row>
    <row r="34" spans="1:21" x14ac:dyDescent="0.25">
      <c r="A34" s="1" t="s">
        <v>117</v>
      </c>
      <c r="B34" s="42">
        <v>7289.86</v>
      </c>
      <c r="F34" s="1" t="s">
        <v>0</v>
      </c>
      <c r="G34" s="9">
        <v>35616.339999999997</v>
      </c>
    </row>
    <row r="35" spans="1:21" x14ac:dyDescent="0.25">
      <c r="A35" s="1" t="s">
        <v>118</v>
      </c>
      <c r="B35" s="42">
        <v>17368.580000000002</v>
      </c>
      <c r="F35" s="1" t="s">
        <v>2</v>
      </c>
      <c r="G35" s="9">
        <v>34111.49</v>
      </c>
    </row>
    <row r="36" spans="1:21" x14ac:dyDescent="0.25">
      <c r="A36" s="1" t="s">
        <v>119</v>
      </c>
      <c r="B36" s="42">
        <v>33642.82</v>
      </c>
      <c r="F36" s="1" t="s">
        <v>11</v>
      </c>
      <c r="G36" s="9">
        <v>20596.62</v>
      </c>
    </row>
    <row r="37" spans="1:21" x14ac:dyDescent="0.25">
      <c r="A37" s="3" t="s">
        <v>92</v>
      </c>
      <c r="B37" s="42">
        <v>331132.42</v>
      </c>
      <c r="F37" s="1" t="s">
        <v>92</v>
      </c>
      <c r="G37" s="9">
        <v>331132.42</v>
      </c>
    </row>
    <row r="38" spans="1:21" x14ac:dyDescent="0.25">
      <c r="B38" s="12"/>
    </row>
    <row r="40" spans="1:21" x14ac:dyDescent="0.25">
      <c r="E40" s="21"/>
    </row>
    <row r="41" spans="1:21" s="22" customFormat="1" ht="17.45" customHeight="1" x14ac:dyDescent="0.25">
      <c r="E41" s="23"/>
      <c r="R41" s="50"/>
      <c r="U41" s="50"/>
    </row>
    <row r="42" spans="1:21" s="22" customFormat="1" ht="17.45" customHeight="1" x14ac:dyDescent="0.25">
      <c r="A42"/>
      <c r="B42"/>
      <c r="C42"/>
      <c r="D42"/>
      <c r="E42"/>
      <c r="F42"/>
      <c r="G42"/>
      <c r="H42"/>
      <c r="I42"/>
      <c r="J42"/>
      <c r="K42"/>
      <c r="L42"/>
      <c r="M42"/>
      <c r="N42"/>
      <c r="O42"/>
      <c r="P42"/>
      <c r="Q42"/>
      <c r="R42" s="1"/>
      <c r="U42" s="50"/>
    </row>
    <row r="43" spans="1:21" s="22" customFormat="1" ht="17.45" customHeight="1" x14ac:dyDescent="0.25">
      <c r="A43"/>
      <c r="B43"/>
      <c r="C43"/>
      <c r="D43"/>
      <c r="E43"/>
      <c r="F43"/>
      <c r="G43"/>
      <c r="H43"/>
      <c r="I43"/>
      <c r="J43"/>
      <c r="K43"/>
      <c r="L43"/>
      <c r="M43"/>
      <c r="N43"/>
      <c r="O43"/>
      <c r="P43"/>
      <c r="Q43"/>
      <c r="R43" s="1"/>
      <c r="U43" s="50"/>
    </row>
    <row r="44" spans="1:21" s="22" customFormat="1" ht="17.45" customHeight="1" x14ac:dyDescent="0.25">
      <c r="A44"/>
      <c r="B44"/>
      <c r="C44"/>
      <c r="D44"/>
      <c r="E44"/>
      <c r="R44" s="50"/>
      <c r="U44" s="50"/>
    </row>
    <row r="45" spans="1:21" s="22" customFormat="1" ht="17.45" customHeight="1" x14ac:dyDescent="0.25">
      <c r="A45"/>
      <c r="B45"/>
      <c r="C45"/>
      <c r="D45"/>
      <c r="E45"/>
      <c r="R45" s="50"/>
      <c r="U45" s="50"/>
    </row>
    <row r="46" spans="1:21" s="22" customFormat="1" ht="17.45" customHeight="1" x14ac:dyDescent="0.25">
      <c r="A46"/>
      <c r="B46"/>
      <c r="C46"/>
      <c r="D46"/>
      <c r="E46"/>
      <c r="R46" s="50"/>
      <c r="U46" s="50"/>
    </row>
    <row r="47" spans="1:21" s="22" customFormat="1" ht="17.45" customHeight="1" x14ac:dyDescent="0.25">
      <c r="A47"/>
      <c r="B47"/>
      <c r="C47"/>
      <c r="D47"/>
      <c r="E47"/>
      <c r="R47" s="50"/>
      <c r="U47" s="50"/>
    </row>
    <row r="48" spans="1:21"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sheetData>
  <conditionalFormatting sqref="N7:N14">
    <cfRule type="iconSet" priority="6">
      <iconSet iconSet="4TrafficLights">
        <cfvo type="percent" val="0"/>
        <cfvo type="percent" val="25"/>
        <cfvo type="percent" val="50"/>
        <cfvo type="percent" val="75"/>
      </iconSet>
    </cfRule>
  </conditionalFormatting>
  <conditionalFormatting sqref="M7:M14">
    <cfRule type="iconSet" priority="5">
      <iconSet>
        <cfvo type="percent" val="0"/>
        <cfvo type="percent" val="33"/>
        <cfvo type="percent" val="67"/>
      </iconSet>
    </cfRule>
  </conditionalFormatting>
  <conditionalFormatting sqref="K12:K19">
    <cfRule type="iconSet" priority="4">
      <iconSet>
        <cfvo type="percent" val="0"/>
        <cfvo type="percent" val="33"/>
        <cfvo type="percent" val="67"/>
      </iconSet>
    </cfRule>
  </conditionalFormatting>
  <conditionalFormatting sqref="U20:U23">
    <cfRule type="iconSet" priority="3">
      <iconSet>
        <cfvo type="percent" val="0"/>
        <cfvo type="percent" val="33"/>
        <cfvo type="percent" val="67"/>
      </iconSet>
    </cfRule>
  </conditionalFormatting>
  <conditionalFormatting sqref="T20:T23">
    <cfRule type="iconSet" priority="2">
      <iconSet>
        <cfvo type="percent" val="0"/>
        <cfvo type="percent" val="33"/>
        <cfvo type="percent" val="67"/>
      </iconSet>
    </cfRule>
  </conditionalFormatting>
  <conditionalFormatting pivot="1" sqref="B20:B36">
    <cfRule type="top10" dxfId="6764" priority="1" rank="1"/>
  </conditionalFormatting>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1"/>
  <sheetViews>
    <sheetView zoomScaleNormal="100" workbookViewId="0"/>
  </sheetViews>
  <sheetFormatPr defaultColWidth="8.7109375" defaultRowHeight="15" x14ac:dyDescent="0.25"/>
  <cols>
    <col min="1" max="1" width="13.42578125" style="17" bestFit="1" customWidth="1"/>
    <col min="2" max="2" width="13.42578125" style="17" hidden="1" customWidth="1"/>
    <col min="3" max="3" width="17.7109375" style="3" bestFit="1" customWidth="1"/>
    <col min="4" max="4" width="15" style="3" customWidth="1"/>
    <col min="5" max="5" width="23.5703125" style="3" bestFit="1" customWidth="1"/>
    <col min="6" max="6" width="13.7109375" style="3" bestFit="1" customWidth="1"/>
    <col min="7" max="7" width="33" style="3" hidden="1" customWidth="1"/>
    <col min="8" max="16384" width="8.7109375" style="3"/>
  </cols>
  <sheetData>
    <row r="1" spans="1:7" ht="15.75" x14ac:dyDescent="0.25">
      <c r="A1" s="27" t="s">
        <v>12</v>
      </c>
      <c r="B1" s="27" t="s">
        <v>120</v>
      </c>
      <c r="C1" s="2" t="s">
        <v>13</v>
      </c>
      <c r="D1" s="2" t="s">
        <v>14</v>
      </c>
      <c r="E1" s="2" t="s">
        <v>15</v>
      </c>
      <c r="F1" s="2" t="s">
        <v>16</v>
      </c>
      <c r="G1" s="2" t="s">
        <v>17</v>
      </c>
    </row>
    <row r="2" spans="1:7" ht="15.75" x14ac:dyDescent="0.3">
      <c r="A2" s="37">
        <v>46126</v>
      </c>
      <c r="B2" s="37" t="s">
        <v>116</v>
      </c>
      <c r="C2" s="4" t="s">
        <v>18</v>
      </c>
      <c r="D2" s="4" t="s">
        <v>0</v>
      </c>
      <c r="E2" s="4" t="s">
        <v>1</v>
      </c>
      <c r="F2" s="5">
        <v>4739.54</v>
      </c>
      <c r="G2" s="4"/>
    </row>
    <row r="3" spans="1:7" ht="15.75" x14ac:dyDescent="0.3">
      <c r="A3" s="37">
        <v>46115</v>
      </c>
      <c r="B3" s="37" t="s">
        <v>105</v>
      </c>
      <c r="C3" s="4" t="s">
        <v>19</v>
      </c>
      <c r="D3" s="4" t="s">
        <v>2</v>
      </c>
      <c r="E3" s="4" t="s">
        <v>3</v>
      </c>
      <c r="F3" s="5">
        <v>2304.23</v>
      </c>
      <c r="G3" s="4"/>
    </row>
    <row r="4" spans="1:7" ht="15.75" x14ac:dyDescent="0.3">
      <c r="A4" s="37">
        <v>46119</v>
      </c>
      <c r="B4" s="37" t="s">
        <v>109</v>
      </c>
      <c r="C4" s="4" t="s">
        <v>20</v>
      </c>
      <c r="D4" s="4" t="s">
        <v>4</v>
      </c>
      <c r="E4" s="4" t="s">
        <v>3</v>
      </c>
      <c r="F4" s="5">
        <v>10226.4</v>
      </c>
      <c r="G4" s="4"/>
    </row>
    <row r="5" spans="1:7" ht="15.75" x14ac:dyDescent="0.3">
      <c r="A5" s="37">
        <v>46117</v>
      </c>
      <c r="B5" s="37" t="s">
        <v>107</v>
      </c>
      <c r="C5" s="4" t="s">
        <v>21</v>
      </c>
      <c r="D5" s="4" t="s">
        <v>9</v>
      </c>
      <c r="E5" s="4" t="s">
        <v>3</v>
      </c>
      <c r="F5" s="5">
        <v>4469.53</v>
      </c>
      <c r="G5" s="4"/>
    </row>
    <row r="6" spans="1:7" ht="15.75" x14ac:dyDescent="0.3">
      <c r="A6" s="37">
        <v>46119</v>
      </c>
      <c r="B6" s="37" t="s">
        <v>109</v>
      </c>
      <c r="C6" s="4" t="s">
        <v>22</v>
      </c>
      <c r="D6" s="4" t="s">
        <v>6</v>
      </c>
      <c r="E6" s="4" t="s">
        <v>1</v>
      </c>
      <c r="F6" s="5">
        <v>13281.32</v>
      </c>
      <c r="G6" s="4"/>
    </row>
    <row r="7" spans="1:7" ht="15.75" x14ac:dyDescent="0.3">
      <c r="A7" s="37">
        <v>46123</v>
      </c>
      <c r="B7" s="37" t="s">
        <v>113</v>
      </c>
      <c r="C7" s="4" t="s">
        <v>23</v>
      </c>
      <c r="D7" s="4" t="s">
        <v>2</v>
      </c>
      <c r="E7" s="4" t="s">
        <v>1</v>
      </c>
      <c r="F7" s="5">
        <v>3596.18</v>
      </c>
      <c r="G7" s="4"/>
    </row>
    <row r="8" spans="1:7" ht="15.75" x14ac:dyDescent="0.3">
      <c r="A8" s="37">
        <v>46115</v>
      </c>
      <c r="B8" s="37" t="s">
        <v>105</v>
      </c>
      <c r="C8" s="4" t="s">
        <v>24</v>
      </c>
      <c r="D8" s="4" t="s">
        <v>2</v>
      </c>
      <c r="E8" s="4" t="s">
        <v>3</v>
      </c>
      <c r="F8" s="5">
        <v>5903.01</v>
      </c>
      <c r="G8" s="4"/>
    </row>
    <row r="9" spans="1:7" ht="15.75" x14ac:dyDescent="0.3">
      <c r="A9" s="37">
        <v>46114</v>
      </c>
      <c r="B9" s="37" t="s">
        <v>104</v>
      </c>
      <c r="C9" s="4" t="s">
        <v>25</v>
      </c>
      <c r="D9" s="4" t="s">
        <v>2</v>
      </c>
      <c r="E9" s="4" t="s">
        <v>1</v>
      </c>
      <c r="F9" s="5">
        <v>5788.54</v>
      </c>
      <c r="G9" s="4"/>
    </row>
    <row r="10" spans="1:7" ht="15.75" x14ac:dyDescent="0.3">
      <c r="A10" s="37">
        <v>46126</v>
      </c>
      <c r="B10" s="37" t="s">
        <v>116</v>
      </c>
      <c r="C10" s="4" t="s">
        <v>26</v>
      </c>
      <c r="D10" s="4" t="s">
        <v>6</v>
      </c>
      <c r="E10" s="4" t="s">
        <v>3</v>
      </c>
      <c r="F10" s="5">
        <v>17973.990000000002</v>
      </c>
      <c r="G10" s="4"/>
    </row>
    <row r="11" spans="1:7" ht="15.75" x14ac:dyDescent="0.3">
      <c r="A11" s="37">
        <v>46129</v>
      </c>
      <c r="B11" s="37" t="s">
        <v>119</v>
      </c>
      <c r="C11" s="4" t="s">
        <v>27</v>
      </c>
      <c r="D11" s="4" t="s">
        <v>9</v>
      </c>
      <c r="E11" s="4" t="s">
        <v>1</v>
      </c>
      <c r="F11" s="5">
        <v>8199.57</v>
      </c>
      <c r="G11" s="4"/>
    </row>
    <row r="12" spans="1:7" ht="15.75" x14ac:dyDescent="0.3">
      <c r="A12" s="37">
        <v>46120</v>
      </c>
      <c r="B12" s="37" t="s">
        <v>110</v>
      </c>
      <c r="C12" s="4" t="s">
        <v>28</v>
      </c>
      <c r="D12" s="4" t="s">
        <v>4</v>
      </c>
      <c r="E12" s="4" t="s">
        <v>1</v>
      </c>
      <c r="F12" s="5">
        <v>13417.72</v>
      </c>
      <c r="G12" s="4"/>
    </row>
    <row r="13" spans="1:7" ht="15.75" x14ac:dyDescent="0.3">
      <c r="A13" s="37">
        <v>46114</v>
      </c>
      <c r="B13" s="37" t="s">
        <v>104</v>
      </c>
      <c r="C13" s="4" t="s">
        <v>29</v>
      </c>
      <c r="D13" s="4" t="s">
        <v>0</v>
      </c>
      <c r="E13" s="4" t="s">
        <v>1</v>
      </c>
      <c r="F13" s="5">
        <v>6919.7</v>
      </c>
      <c r="G13" s="4"/>
    </row>
    <row r="14" spans="1:7" ht="15.75" x14ac:dyDescent="0.3">
      <c r="A14" s="37">
        <v>46129</v>
      </c>
      <c r="B14" s="37" t="s">
        <v>119</v>
      </c>
      <c r="C14" s="4" t="s">
        <v>30</v>
      </c>
      <c r="D14" s="4" t="s">
        <v>10</v>
      </c>
      <c r="E14" s="4" t="s">
        <v>3</v>
      </c>
      <c r="F14" s="5">
        <v>7701.84</v>
      </c>
      <c r="G14" s="4"/>
    </row>
    <row r="15" spans="1:7" ht="15.75" x14ac:dyDescent="0.3">
      <c r="A15" s="37">
        <v>46113</v>
      </c>
      <c r="B15" s="37" t="s">
        <v>103</v>
      </c>
      <c r="C15" s="4" t="s">
        <v>31</v>
      </c>
      <c r="D15" s="4" t="s">
        <v>8</v>
      </c>
      <c r="E15" s="4" t="s">
        <v>5</v>
      </c>
      <c r="F15" s="5">
        <v>4172.71</v>
      </c>
      <c r="G15" s="4"/>
    </row>
    <row r="16" spans="1:7" ht="15.75" x14ac:dyDescent="0.3">
      <c r="A16" s="37">
        <v>46122</v>
      </c>
      <c r="B16" s="37" t="s">
        <v>112</v>
      </c>
      <c r="C16" s="4" t="s">
        <v>32</v>
      </c>
      <c r="D16" s="4" t="s">
        <v>0</v>
      </c>
      <c r="E16" s="4" t="s">
        <v>1</v>
      </c>
      <c r="F16" s="5">
        <v>7148.86</v>
      </c>
      <c r="G16" s="4"/>
    </row>
    <row r="17" spans="1:7" ht="15.75" x14ac:dyDescent="0.3">
      <c r="A17" s="37">
        <v>46128</v>
      </c>
      <c r="B17" s="37" t="s">
        <v>118</v>
      </c>
      <c r="C17" s="4" t="s">
        <v>33</v>
      </c>
      <c r="D17" s="4" t="s">
        <v>10</v>
      </c>
      <c r="E17" s="4" t="s">
        <v>1</v>
      </c>
      <c r="F17" s="5">
        <v>8192.5</v>
      </c>
      <c r="G17" s="4"/>
    </row>
    <row r="18" spans="1:7" ht="15.75" x14ac:dyDescent="0.3">
      <c r="A18" s="37">
        <v>46121</v>
      </c>
      <c r="B18" s="37" t="s">
        <v>111</v>
      </c>
      <c r="C18" s="4" t="s">
        <v>34</v>
      </c>
      <c r="D18" s="4" t="s">
        <v>6</v>
      </c>
      <c r="E18" s="4" t="s">
        <v>7</v>
      </c>
      <c r="F18" s="5">
        <v>13355.18</v>
      </c>
      <c r="G18" s="4"/>
    </row>
    <row r="19" spans="1:7" ht="15.75" x14ac:dyDescent="0.3">
      <c r="A19" s="37">
        <v>46118</v>
      </c>
      <c r="B19" s="37" t="s">
        <v>108</v>
      </c>
      <c r="C19" s="4" t="s">
        <v>35</v>
      </c>
      <c r="D19" s="4" t="s">
        <v>8</v>
      </c>
      <c r="E19" s="4" t="s">
        <v>7</v>
      </c>
      <c r="F19" s="5">
        <v>1451.68</v>
      </c>
      <c r="G19" s="4"/>
    </row>
    <row r="20" spans="1:7" ht="15.75" x14ac:dyDescent="0.3">
      <c r="A20" s="37">
        <v>46115</v>
      </c>
      <c r="B20" s="37" t="s">
        <v>105</v>
      </c>
      <c r="C20" s="4" t="s">
        <v>36</v>
      </c>
      <c r="D20" s="4" t="s">
        <v>11</v>
      </c>
      <c r="E20" s="4" t="s">
        <v>3</v>
      </c>
      <c r="F20" s="5">
        <v>7154.65</v>
      </c>
      <c r="G20" s="4"/>
    </row>
    <row r="21" spans="1:7" ht="15.75" x14ac:dyDescent="0.3">
      <c r="A21" s="37">
        <v>46129</v>
      </c>
      <c r="B21" s="37" t="s">
        <v>119</v>
      </c>
      <c r="C21" s="4" t="s">
        <v>37</v>
      </c>
      <c r="D21" s="4" t="s">
        <v>10</v>
      </c>
      <c r="E21" s="4" t="s">
        <v>5</v>
      </c>
      <c r="F21" s="5">
        <v>4008.55</v>
      </c>
      <c r="G21" s="4"/>
    </row>
    <row r="22" spans="1:7" ht="15.75" x14ac:dyDescent="0.3">
      <c r="A22" s="37">
        <v>46123</v>
      </c>
      <c r="B22" s="37" t="s">
        <v>113</v>
      </c>
      <c r="C22" s="4" t="s">
        <v>38</v>
      </c>
      <c r="D22" s="4" t="s">
        <v>10</v>
      </c>
      <c r="E22" s="4" t="s">
        <v>5</v>
      </c>
      <c r="F22" s="5">
        <v>7000.31</v>
      </c>
      <c r="G22" s="4"/>
    </row>
    <row r="23" spans="1:7" ht="15.75" x14ac:dyDescent="0.3">
      <c r="A23" s="37">
        <v>46118</v>
      </c>
      <c r="B23" s="37" t="s">
        <v>108</v>
      </c>
      <c r="C23" s="4" t="s">
        <v>39</v>
      </c>
      <c r="D23" s="4" t="s">
        <v>9</v>
      </c>
      <c r="E23" s="4" t="s">
        <v>1</v>
      </c>
      <c r="F23" s="5">
        <v>1197.1300000000001</v>
      </c>
      <c r="G23" s="4"/>
    </row>
    <row r="24" spans="1:7" ht="15.75" x14ac:dyDescent="0.3">
      <c r="A24" s="37">
        <v>46121</v>
      </c>
      <c r="B24" s="37" t="s">
        <v>111</v>
      </c>
      <c r="C24" s="4" t="s">
        <v>40</v>
      </c>
      <c r="D24" s="4" t="s">
        <v>8</v>
      </c>
      <c r="E24" s="4" t="s">
        <v>1</v>
      </c>
      <c r="F24" s="5">
        <v>8793.51</v>
      </c>
      <c r="G24" s="4"/>
    </row>
    <row r="25" spans="1:7" ht="15.75" x14ac:dyDescent="0.3">
      <c r="A25" s="37">
        <v>46115</v>
      </c>
      <c r="B25" s="37" t="s">
        <v>105</v>
      </c>
      <c r="C25" s="4" t="s">
        <v>41</v>
      </c>
      <c r="D25" s="4" t="s">
        <v>10</v>
      </c>
      <c r="E25" s="4" t="s">
        <v>3</v>
      </c>
      <c r="F25" s="5">
        <v>6618.85</v>
      </c>
      <c r="G25" s="4"/>
    </row>
    <row r="26" spans="1:7" ht="15.75" x14ac:dyDescent="0.3">
      <c r="A26" s="37">
        <v>46113</v>
      </c>
      <c r="B26" s="37" t="s">
        <v>103</v>
      </c>
      <c r="C26" s="4" t="s">
        <v>42</v>
      </c>
      <c r="D26" s="4" t="s">
        <v>6</v>
      </c>
      <c r="E26" s="4" t="s">
        <v>5</v>
      </c>
      <c r="F26" s="5">
        <v>13555.8</v>
      </c>
      <c r="G26" s="4"/>
    </row>
    <row r="27" spans="1:7" ht="15.75" x14ac:dyDescent="0.3">
      <c r="A27" s="37">
        <v>46126</v>
      </c>
      <c r="B27" s="37" t="s">
        <v>116</v>
      </c>
      <c r="C27" s="4" t="s">
        <v>43</v>
      </c>
      <c r="D27" s="4" t="s">
        <v>6</v>
      </c>
      <c r="E27" s="4" t="s">
        <v>3</v>
      </c>
      <c r="F27" s="5">
        <v>9874.35</v>
      </c>
      <c r="G27" s="4"/>
    </row>
    <row r="28" spans="1:7" ht="15.75" x14ac:dyDescent="0.3">
      <c r="A28" s="37">
        <v>46117</v>
      </c>
      <c r="B28" s="37" t="s">
        <v>107</v>
      </c>
      <c r="C28" s="4" t="s">
        <v>44</v>
      </c>
      <c r="D28" s="4" t="s">
        <v>0</v>
      </c>
      <c r="E28" s="4" t="s">
        <v>1</v>
      </c>
      <c r="F28" s="5">
        <v>6328.25</v>
      </c>
      <c r="G28" s="4"/>
    </row>
    <row r="29" spans="1:7" ht="15.75" x14ac:dyDescent="0.3">
      <c r="A29" s="37">
        <v>46124</v>
      </c>
      <c r="B29" s="37" t="s">
        <v>114</v>
      </c>
      <c r="C29" s="4" t="s">
        <v>45</v>
      </c>
      <c r="D29" s="4" t="s">
        <v>11</v>
      </c>
      <c r="E29" s="4" t="s">
        <v>7</v>
      </c>
      <c r="F29" s="5">
        <v>5939.53</v>
      </c>
      <c r="G29" s="4"/>
    </row>
    <row r="30" spans="1:7" ht="15.75" x14ac:dyDescent="0.3">
      <c r="A30" s="37">
        <v>46121</v>
      </c>
      <c r="B30" s="37" t="s">
        <v>111</v>
      </c>
      <c r="C30" s="4" t="s">
        <v>46</v>
      </c>
      <c r="D30" s="4" t="s">
        <v>9</v>
      </c>
      <c r="E30" s="4" t="s">
        <v>5</v>
      </c>
      <c r="F30" s="5">
        <v>9760.2900000000009</v>
      </c>
      <c r="G30" s="4"/>
    </row>
    <row r="31" spans="1:7" ht="15.75" x14ac:dyDescent="0.3">
      <c r="A31" s="37">
        <v>46113</v>
      </c>
      <c r="B31" s="37" t="s">
        <v>103</v>
      </c>
      <c r="C31" s="4" t="s">
        <v>47</v>
      </c>
      <c r="D31" s="4" t="s">
        <v>9</v>
      </c>
      <c r="E31" s="4" t="s">
        <v>5</v>
      </c>
      <c r="F31" s="5">
        <v>3158.28</v>
      </c>
      <c r="G31" s="4"/>
    </row>
    <row r="32" spans="1:7" ht="15.75" x14ac:dyDescent="0.3">
      <c r="A32" s="37">
        <v>46120</v>
      </c>
      <c r="B32" s="37" t="s">
        <v>110</v>
      </c>
      <c r="C32" s="4" t="s">
        <v>48</v>
      </c>
      <c r="D32" s="4" t="s">
        <v>0</v>
      </c>
      <c r="E32" s="4" t="s">
        <v>3</v>
      </c>
      <c r="F32" s="5">
        <v>5003.17</v>
      </c>
      <c r="G32" s="4"/>
    </row>
    <row r="33" spans="1:7" ht="15.75" x14ac:dyDescent="0.3">
      <c r="A33" s="37">
        <v>46115</v>
      </c>
      <c r="B33" s="37" t="s">
        <v>105</v>
      </c>
      <c r="C33" s="4" t="s">
        <v>49</v>
      </c>
      <c r="D33" s="4" t="s">
        <v>11</v>
      </c>
      <c r="E33" s="4" t="s">
        <v>3</v>
      </c>
      <c r="F33" s="5">
        <v>2906.61</v>
      </c>
      <c r="G33" s="4"/>
    </row>
    <row r="34" spans="1:7" ht="15.75" x14ac:dyDescent="0.3">
      <c r="A34" s="37">
        <v>46117</v>
      </c>
      <c r="B34" s="37" t="s">
        <v>107</v>
      </c>
      <c r="C34" s="4" t="s">
        <v>50</v>
      </c>
      <c r="D34" s="4" t="s">
        <v>10</v>
      </c>
      <c r="E34" s="4" t="s">
        <v>3</v>
      </c>
      <c r="F34" s="5">
        <v>2590.98</v>
      </c>
      <c r="G34" s="4"/>
    </row>
    <row r="35" spans="1:7" ht="15.75" x14ac:dyDescent="0.3">
      <c r="A35" s="37">
        <v>46127</v>
      </c>
      <c r="B35" s="37" t="s">
        <v>117</v>
      </c>
      <c r="C35" s="4" t="s">
        <v>51</v>
      </c>
      <c r="D35" s="4" t="s">
        <v>10</v>
      </c>
      <c r="E35" s="4" t="s">
        <v>1</v>
      </c>
      <c r="F35" s="5">
        <v>7289.86</v>
      </c>
      <c r="G35" s="4"/>
    </row>
    <row r="36" spans="1:7" ht="15.75" x14ac:dyDescent="0.3">
      <c r="A36" s="37">
        <v>46113</v>
      </c>
      <c r="B36" s="37" t="s">
        <v>103</v>
      </c>
      <c r="C36" s="4" t="s">
        <v>52</v>
      </c>
      <c r="D36" s="4" t="s">
        <v>11</v>
      </c>
      <c r="E36" s="4" t="s">
        <v>3</v>
      </c>
      <c r="F36" s="5">
        <v>4595.83</v>
      </c>
      <c r="G36" s="4"/>
    </row>
    <row r="37" spans="1:7" ht="15.75" x14ac:dyDescent="0.3">
      <c r="A37" s="37">
        <v>46116</v>
      </c>
      <c r="B37" s="37" t="s">
        <v>106</v>
      </c>
      <c r="C37" s="4" t="s">
        <v>53</v>
      </c>
      <c r="D37" s="4" t="s">
        <v>6</v>
      </c>
      <c r="E37" s="4" t="s">
        <v>3</v>
      </c>
      <c r="F37" s="5">
        <v>5692.27</v>
      </c>
      <c r="G37" s="4"/>
    </row>
    <row r="38" spans="1:7" ht="15.75" x14ac:dyDescent="0.3">
      <c r="A38" s="37">
        <v>46119</v>
      </c>
      <c r="B38" s="37" t="s">
        <v>109</v>
      </c>
      <c r="C38" s="4" t="s">
        <v>54</v>
      </c>
      <c r="D38" s="4" t="s">
        <v>8</v>
      </c>
      <c r="E38" s="4" t="s">
        <v>3</v>
      </c>
      <c r="F38" s="5">
        <v>9670.59</v>
      </c>
      <c r="G38" s="4"/>
    </row>
    <row r="39" spans="1:7" ht="15.75" x14ac:dyDescent="0.3">
      <c r="A39" s="37">
        <v>46125</v>
      </c>
      <c r="B39" s="37" t="s">
        <v>115</v>
      </c>
      <c r="C39" s="4" t="s">
        <v>55</v>
      </c>
      <c r="D39" s="4" t="s">
        <v>9</v>
      </c>
      <c r="E39" s="4" t="s">
        <v>1</v>
      </c>
      <c r="F39" s="5">
        <v>1394.01</v>
      </c>
      <c r="G39" s="4"/>
    </row>
    <row r="40" spans="1:7" ht="15.75" x14ac:dyDescent="0.3">
      <c r="A40" s="37">
        <v>46121</v>
      </c>
      <c r="B40" s="37" t="s">
        <v>111</v>
      </c>
      <c r="C40" s="4" t="s">
        <v>56</v>
      </c>
      <c r="D40" s="4" t="s">
        <v>8</v>
      </c>
      <c r="E40" s="4" t="s">
        <v>3</v>
      </c>
      <c r="F40" s="5">
        <v>3620.5</v>
      </c>
      <c r="G40" s="4"/>
    </row>
    <row r="41" spans="1:7" ht="15.75" x14ac:dyDescent="0.3">
      <c r="A41" s="37">
        <v>46121</v>
      </c>
      <c r="B41" s="37" t="s">
        <v>111</v>
      </c>
      <c r="C41" s="4" t="s">
        <v>57</v>
      </c>
      <c r="D41" s="4" t="s">
        <v>2</v>
      </c>
      <c r="E41" s="4" t="s">
        <v>7</v>
      </c>
      <c r="F41" s="5">
        <v>2788.52</v>
      </c>
      <c r="G41" s="4"/>
    </row>
    <row r="42" spans="1:7" ht="15.75" x14ac:dyDescent="0.3">
      <c r="A42" s="37">
        <v>46125</v>
      </c>
      <c r="B42" s="37" t="s">
        <v>115</v>
      </c>
      <c r="C42" s="4" t="s">
        <v>58</v>
      </c>
      <c r="D42" s="4" t="s">
        <v>4</v>
      </c>
      <c r="E42" s="4" t="s">
        <v>5</v>
      </c>
      <c r="F42" s="5">
        <v>13056.87</v>
      </c>
      <c r="G42" s="4"/>
    </row>
    <row r="43" spans="1:7" ht="15.75" x14ac:dyDescent="0.3">
      <c r="A43" s="37">
        <v>46120</v>
      </c>
      <c r="B43" s="37" t="s">
        <v>110</v>
      </c>
      <c r="C43" s="4" t="s">
        <v>59</v>
      </c>
      <c r="D43" s="4" t="s">
        <v>2</v>
      </c>
      <c r="E43" s="4" t="s">
        <v>5</v>
      </c>
      <c r="F43" s="5">
        <v>4958.8</v>
      </c>
      <c r="G43" s="4"/>
    </row>
    <row r="44" spans="1:7" ht="15.75" x14ac:dyDescent="0.3">
      <c r="A44" s="37">
        <v>46120</v>
      </c>
      <c r="B44" s="37" t="s">
        <v>110</v>
      </c>
      <c r="C44" s="4" t="s">
        <v>60</v>
      </c>
      <c r="D44" s="4" t="s">
        <v>2</v>
      </c>
      <c r="E44" s="4" t="s">
        <v>7</v>
      </c>
      <c r="F44" s="5">
        <v>2038.85</v>
      </c>
      <c r="G44" s="4"/>
    </row>
    <row r="45" spans="1:7" ht="15.75" x14ac:dyDescent="0.3">
      <c r="A45" s="37">
        <v>46125</v>
      </c>
      <c r="B45" s="37" t="s">
        <v>115</v>
      </c>
      <c r="C45" s="4" t="s">
        <v>61</v>
      </c>
      <c r="D45" s="4" t="s">
        <v>2</v>
      </c>
      <c r="E45" s="4" t="s">
        <v>1</v>
      </c>
      <c r="F45" s="5">
        <v>5017.3999999999996</v>
      </c>
      <c r="G45" s="4"/>
    </row>
    <row r="46" spans="1:7" ht="15.75" x14ac:dyDescent="0.3">
      <c r="A46" s="37">
        <v>46128</v>
      </c>
      <c r="B46" s="37" t="s">
        <v>118</v>
      </c>
      <c r="C46" s="4" t="s">
        <v>62</v>
      </c>
      <c r="D46" s="4" t="s">
        <v>0</v>
      </c>
      <c r="E46" s="4" t="s">
        <v>1</v>
      </c>
      <c r="F46" s="5">
        <v>5476.82</v>
      </c>
      <c r="G46" s="4"/>
    </row>
    <row r="47" spans="1:7" ht="15.75" x14ac:dyDescent="0.3">
      <c r="A47" s="37">
        <v>46123</v>
      </c>
      <c r="B47" s="37" t="s">
        <v>113</v>
      </c>
      <c r="C47" s="4" t="s">
        <v>63</v>
      </c>
      <c r="D47" s="4" t="s">
        <v>8</v>
      </c>
      <c r="E47" s="4" t="s">
        <v>7</v>
      </c>
      <c r="F47" s="5">
        <v>8133.41</v>
      </c>
      <c r="G47" s="4"/>
    </row>
    <row r="48" spans="1:7" ht="15.75" x14ac:dyDescent="0.3">
      <c r="A48" s="37">
        <v>46113</v>
      </c>
      <c r="B48" s="37" t="s">
        <v>103</v>
      </c>
      <c r="C48" s="4" t="s">
        <v>64</v>
      </c>
      <c r="D48" s="4" t="s">
        <v>2</v>
      </c>
      <c r="E48" s="4" t="s">
        <v>1</v>
      </c>
      <c r="F48" s="5">
        <v>1715.96</v>
      </c>
      <c r="G48" s="4"/>
    </row>
    <row r="49" spans="1:7" ht="15.75" x14ac:dyDescent="0.3">
      <c r="A49" s="37">
        <v>46123</v>
      </c>
      <c r="B49" s="37" t="s">
        <v>113</v>
      </c>
      <c r="C49" s="4" t="s">
        <v>65</v>
      </c>
      <c r="D49" s="4" t="s">
        <v>9</v>
      </c>
      <c r="E49" s="4" t="s">
        <v>7</v>
      </c>
      <c r="F49" s="5">
        <v>5517.85</v>
      </c>
      <c r="G49" s="4"/>
    </row>
    <row r="50" spans="1:7" ht="15.75" x14ac:dyDescent="0.3">
      <c r="A50" s="37">
        <v>46129</v>
      </c>
      <c r="B50" s="37" t="s">
        <v>119</v>
      </c>
      <c r="C50" s="4" t="s">
        <v>66</v>
      </c>
      <c r="D50" s="4" t="s">
        <v>4</v>
      </c>
      <c r="E50" s="4" t="s">
        <v>1</v>
      </c>
      <c r="F50" s="5">
        <v>13732.86</v>
      </c>
      <c r="G50" s="4"/>
    </row>
    <row r="51" spans="1:7" ht="15.75" x14ac:dyDescent="0.3">
      <c r="A51" s="37">
        <v>46128</v>
      </c>
      <c r="B51" s="37" t="s">
        <v>118</v>
      </c>
      <c r="C51" s="4" t="s">
        <v>67</v>
      </c>
      <c r="D51" s="4" t="s">
        <v>9</v>
      </c>
      <c r="E51" s="4" t="s">
        <v>7</v>
      </c>
      <c r="F51" s="5">
        <v>3699.26</v>
      </c>
      <c r="G51" s="4"/>
    </row>
  </sheetData>
  <pageMargins left="0.75" right="0.75" top="1" bottom="1" header="0.511811023622047" footer="0.511811023622047"/>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zoomScaleNormal="100" workbookViewId="0"/>
  </sheetViews>
  <sheetFormatPr defaultColWidth="8.7109375" defaultRowHeight="15" x14ac:dyDescent="0.25"/>
  <cols>
    <col min="1" max="1" width="13.140625" bestFit="1" customWidth="1"/>
    <col min="2" max="2" width="14.5703125" customWidth="1"/>
    <col min="3" max="3" width="25.42578125" bestFit="1" customWidth="1"/>
  </cols>
  <sheetData>
    <row r="1" spans="1:3" ht="15.75" x14ac:dyDescent="0.25">
      <c r="A1" s="28" t="s">
        <v>14</v>
      </c>
      <c r="B1" s="29" t="s">
        <v>68</v>
      </c>
      <c r="C1" s="30" t="s">
        <v>13</v>
      </c>
    </row>
    <row r="2" spans="1:3" ht="15.75" x14ac:dyDescent="0.25">
      <c r="A2" s="38" t="s">
        <v>0</v>
      </c>
      <c r="B2" s="26">
        <v>35000</v>
      </c>
      <c r="C2" s="31" t="s">
        <v>69</v>
      </c>
    </row>
    <row r="3" spans="1:3" ht="15.75" x14ac:dyDescent="0.25">
      <c r="A3" s="38" t="s">
        <v>2</v>
      </c>
      <c r="B3" s="26">
        <v>25000</v>
      </c>
      <c r="C3" s="31" t="s">
        <v>70</v>
      </c>
    </row>
    <row r="4" spans="1:3" ht="15.75" x14ac:dyDescent="0.25">
      <c r="A4" s="38" t="s">
        <v>4</v>
      </c>
      <c r="B4" s="26">
        <v>20000</v>
      </c>
      <c r="C4" s="31" t="s">
        <v>71</v>
      </c>
    </row>
    <row r="5" spans="1:3" ht="15.75" x14ac:dyDescent="0.25">
      <c r="A5" s="38" t="s">
        <v>6</v>
      </c>
      <c r="B5" s="26">
        <v>30000</v>
      </c>
      <c r="C5" s="31" t="s">
        <v>72</v>
      </c>
    </row>
    <row r="6" spans="1:3" ht="15.75" x14ac:dyDescent="0.25">
      <c r="A6" s="38" t="s">
        <v>8</v>
      </c>
      <c r="B6" s="26">
        <v>15000</v>
      </c>
      <c r="C6" s="31" t="s">
        <v>73</v>
      </c>
    </row>
    <row r="7" spans="1:3" ht="15.75" x14ac:dyDescent="0.25">
      <c r="A7" s="38" t="s">
        <v>9</v>
      </c>
      <c r="B7" s="26">
        <v>12000</v>
      </c>
      <c r="C7" s="31" t="s">
        <v>74</v>
      </c>
    </row>
    <row r="8" spans="1:3" ht="15.75" x14ac:dyDescent="0.25">
      <c r="A8" s="38" t="s">
        <v>10</v>
      </c>
      <c r="B8" s="26">
        <v>8000</v>
      </c>
      <c r="C8" s="31" t="s">
        <v>75</v>
      </c>
    </row>
    <row r="9" spans="1:3" ht="15.75" x14ac:dyDescent="0.25">
      <c r="A9" s="39" t="s">
        <v>11</v>
      </c>
      <c r="B9" s="33">
        <v>10000</v>
      </c>
      <c r="C9" s="34" t="s">
        <v>76</v>
      </c>
    </row>
  </sheetData>
  <pageMargins left="0.75" right="0.75" top="1" bottom="1" header="0.511811023622047" footer="0.511811023622047"/>
  <pageSetup paperSize="9" orientation="portrait" horizontalDpi="300" verticalDpi="300"/>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509D4-0A64-4C4D-BCF8-A719024E927C}">
  <dimension ref="A1:B6"/>
  <sheetViews>
    <sheetView zoomScaleNormal="100" workbookViewId="0"/>
  </sheetViews>
  <sheetFormatPr defaultRowHeight="15" x14ac:dyDescent="0.25"/>
  <cols>
    <col min="1" max="1" width="16.5703125" bestFit="1" customWidth="1"/>
    <col min="2" max="2" width="11.7109375" bestFit="1" customWidth="1"/>
  </cols>
  <sheetData>
    <row r="1" spans="1:2" x14ac:dyDescent="0.25">
      <c r="A1" s="8" t="s">
        <v>15</v>
      </c>
      <c r="B1" s="8" t="s">
        <v>102</v>
      </c>
    </row>
    <row r="2" spans="1:2" x14ac:dyDescent="0.25">
      <c r="A2" s="1" t="s">
        <v>1</v>
      </c>
      <c r="B2" s="13">
        <v>122229.73</v>
      </c>
    </row>
    <row r="3" spans="1:2" x14ac:dyDescent="0.25">
      <c r="A3" s="1" t="s">
        <v>3</v>
      </c>
      <c r="B3" s="13">
        <v>106306.8</v>
      </c>
    </row>
    <row r="4" spans="1:2" x14ac:dyDescent="0.25">
      <c r="A4" s="1" t="s">
        <v>7</v>
      </c>
      <c r="B4" s="13">
        <v>42924.28</v>
      </c>
    </row>
    <row r="5" spans="1:2" x14ac:dyDescent="0.25">
      <c r="A5" s="1" t="s">
        <v>5</v>
      </c>
      <c r="B5" s="13">
        <v>59671.61</v>
      </c>
    </row>
    <row r="6" spans="1:2" x14ac:dyDescent="0.25">
      <c r="A6" s="40" t="s">
        <v>92</v>
      </c>
      <c r="B6" s="41">
        <v>331132.42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
  <sheetViews>
    <sheetView zoomScaleNormal="100" workbookViewId="0">
      <selection activeCell="K8" sqref="K8"/>
    </sheetView>
  </sheetViews>
  <sheetFormatPr defaultColWidth="8.7109375" defaultRowHeight="15" x14ac:dyDescent="0.25"/>
  <cols>
    <col min="1" max="1" width="12" customWidth="1"/>
    <col min="2" max="2" width="20" customWidth="1"/>
    <col min="3" max="3" width="12" customWidth="1"/>
    <col min="4" max="4" width="25" customWidth="1"/>
  </cols>
  <sheetData>
    <row r="1" spans="1:4" ht="15.75" x14ac:dyDescent="0.25">
      <c r="A1" s="28" t="s">
        <v>12</v>
      </c>
      <c r="B1" s="29" t="s">
        <v>77</v>
      </c>
      <c r="C1" s="29" t="s">
        <v>16</v>
      </c>
      <c r="D1" s="30" t="s">
        <v>17</v>
      </c>
    </row>
    <row r="2" spans="1:4" ht="15.75" x14ac:dyDescent="0.25">
      <c r="A2" s="35" t="s">
        <v>78</v>
      </c>
      <c r="B2" s="25" t="s">
        <v>79</v>
      </c>
      <c r="C2" s="26">
        <v>250000</v>
      </c>
      <c r="D2" s="31" t="s">
        <v>80</v>
      </c>
    </row>
    <row r="3" spans="1:4" ht="15.75" x14ac:dyDescent="0.25">
      <c r="A3" s="35" t="s">
        <v>81</v>
      </c>
      <c r="B3" s="25" t="s">
        <v>82</v>
      </c>
      <c r="C3" s="26">
        <v>15000</v>
      </c>
      <c r="D3" s="31" t="s">
        <v>83</v>
      </c>
    </row>
    <row r="4" spans="1:4" ht="15.75" x14ac:dyDescent="0.25">
      <c r="A4" s="36" t="s">
        <v>84</v>
      </c>
      <c r="B4" s="32" t="s">
        <v>85</v>
      </c>
      <c r="C4" s="33">
        <v>25000</v>
      </c>
      <c r="D4" s="34" t="s">
        <v>86</v>
      </c>
    </row>
  </sheetData>
  <pageMargins left="0.75" right="0.75" top="1" bottom="1" header="0.511811023622047" footer="0.511811023622047"/>
  <pageSetup paperSize="9" orientation="portrait" horizontalDpi="300" verticalDpi="300"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ADBB4-7925-45C1-991F-302BA24A7398}">
  <dimension ref="A1:C14"/>
  <sheetViews>
    <sheetView workbookViewId="0">
      <selection sqref="A1:C1"/>
    </sheetView>
  </sheetViews>
  <sheetFormatPr defaultColWidth="8.7109375" defaultRowHeight="15.75" x14ac:dyDescent="0.3"/>
  <cols>
    <col min="1" max="1" width="26.85546875" style="43" customWidth="1"/>
    <col min="2" max="2" width="17" style="43" customWidth="1"/>
    <col min="3" max="3" width="10.7109375" style="47" bestFit="1" customWidth="1"/>
    <col min="4" max="4" width="8.7109375" style="43"/>
    <col min="5" max="5" width="60" style="43" customWidth="1"/>
    <col min="6" max="16384" width="8.7109375" style="43"/>
  </cols>
  <sheetData>
    <row r="1" spans="1:3" ht="19.5" x14ac:dyDescent="0.35">
      <c r="A1" s="79" t="s">
        <v>137</v>
      </c>
      <c r="B1" s="79"/>
      <c r="C1" s="79"/>
    </row>
    <row r="2" spans="1:3" x14ac:dyDescent="0.3">
      <c r="A2" s="45" t="s">
        <v>136</v>
      </c>
      <c r="B2" s="45" t="s">
        <v>135</v>
      </c>
      <c r="C2" s="46" t="s">
        <v>134</v>
      </c>
    </row>
    <row r="3" spans="1:3" x14ac:dyDescent="0.3">
      <c r="A3" s="44" t="s">
        <v>133</v>
      </c>
      <c r="B3" s="25">
        <v>331132</v>
      </c>
      <c r="C3" s="25" t="s">
        <v>131</v>
      </c>
    </row>
    <row r="4" spans="1:3" x14ac:dyDescent="0.3">
      <c r="A4" s="44" t="s">
        <v>90</v>
      </c>
      <c r="B4" s="25">
        <v>19478</v>
      </c>
      <c r="C4" s="25" t="s">
        <v>131</v>
      </c>
    </row>
    <row r="5" spans="1:3" x14ac:dyDescent="0.3">
      <c r="A5" s="44" t="s">
        <v>132</v>
      </c>
      <c r="B5" s="25">
        <v>15000</v>
      </c>
      <c r="C5" s="25" t="s">
        <v>131</v>
      </c>
    </row>
    <row r="6" spans="1:3" x14ac:dyDescent="0.3">
      <c r="A6" s="44" t="s">
        <v>130</v>
      </c>
      <c r="B6" s="25">
        <v>2.94</v>
      </c>
      <c r="C6" s="25" t="s">
        <v>129</v>
      </c>
    </row>
    <row r="7" spans="1:3" x14ac:dyDescent="0.3">
      <c r="A7" s="44" t="s">
        <v>128</v>
      </c>
      <c r="B7" s="25" t="s">
        <v>127</v>
      </c>
      <c r="C7" s="25" t="s">
        <v>126</v>
      </c>
    </row>
    <row r="10" spans="1:3" ht="16.5" x14ac:dyDescent="0.3">
      <c r="A10" s="49" t="s">
        <v>125</v>
      </c>
      <c r="B10" s="49"/>
      <c r="C10" s="49"/>
    </row>
    <row r="11" spans="1:3" x14ac:dyDescent="0.3">
      <c r="A11" s="43" t="s">
        <v>124</v>
      </c>
    </row>
    <row r="12" spans="1:3" x14ac:dyDescent="0.3">
      <c r="A12" s="43" t="s">
        <v>123</v>
      </c>
    </row>
    <row r="13" spans="1:3" x14ac:dyDescent="0.3">
      <c r="A13" s="43" t="s">
        <v>122</v>
      </c>
    </row>
    <row r="14" spans="1:3" x14ac:dyDescent="0.3">
      <c r="A14" s="43" t="s">
        <v>121</v>
      </c>
    </row>
  </sheetData>
  <mergeCells count="2">
    <mergeCell ref="A10:C10"/>
    <mergeCell ref="A1:C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6EBE74-5BC3-49C0-AB6E-69612BA217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Sheet1</vt:lpstr>
      <vt:lpstr>Transactions</vt:lpstr>
      <vt:lpstr>Categories</vt:lpstr>
      <vt:lpstr>Payment Method</vt:lpstr>
      <vt:lpstr>Income</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Ankita Islam</cp:lastModifiedBy>
  <cp:revision>1</cp:revision>
  <dcterms:created xsi:type="dcterms:W3CDTF">2026-05-11T17:01:45Z</dcterms:created>
  <dcterms:modified xsi:type="dcterms:W3CDTF">2026-05-16T06:59:37Z</dcterms:modified>
  <dc:language>en-US</dc:language>
</cp:coreProperties>
</file>